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2"/>
    <sheet name="How to collect" sheetId="2" r:id="rId3"/>
    <sheet name="Pairing rules" sheetId="3" r:id="rId4"/>
    <sheet name="Empty Sky Clips" sheetId="4" r:id="rId5"/>
    <sheet name="House Rooms" sheetId="5" r:id="rId6"/>
    <sheet name="Browse more" sheetId="6" r:id="rId7"/>
    <sheet name="Training pairs" sheetId="7" r:id="rId8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6"/>
      <color rgb="FF1F4E7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8F1FA"/>
        <bgColor indexed="64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/>
  </cellStyleXfs>
  <cellXfs count="4">
    <xf numFmtId="0" fontId="0" fillId="0" borderId="1" xfId="0" applyAlignment="1" applyBorder="1">
      <alignment wrapText="1" vertical="center"/>
    </xf>
    <xf numFmtId="0" fontId="1" fillId="2" borderId="1" xfId="0" applyFont="1" applyFill="1" applyAlignment="1" applyBorder="1">
      <alignment wrapText="1" vertical="center" horizontal="center"/>
    </xf>
    <xf numFmtId="0" fontId="2" fillId="0" borderId="0" xfId="0" applyFont="1" applyAlignment="1">
      <alignment wrapText="1" vertical="center"/>
    </xf>
    <xf numFmtId="0" fontId="0" fillId="3" borderId="1" xfId="0" applyFont="1" applyFill="1" applyAlignment="1" applyBorder="1">
      <alignment wrapText="1" vertical="center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/>
  </sheetViews>
  <cols>
    <col min="1" max="1" width="28" customWidth="1"/>
    <col min="2" max="2" width="80" customWidth="1"/>
  </cols>
  <sheetData>
    <row r="1">
      <c r="A1" s="2" t="inlineStr">
        <is>
          <t xml:space="preserve">Bird IC-LoRA dataset tracker</t>
        </is>
      </c>
      <c r="B1" s="2" t="inlineStr">
        <is>
          <t xml:space="preserve"/>
        </is>
      </c>
    </row>
    <row r="2">
      <c r="A2" s="0" t="inlineStr">
        <is>
          <t xml:space="preserve">Created</t>
        </is>
      </c>
      <c r="B2" s="0" t="inlineStr">
        <is>
          <t xml:space="preserve">2026-08-26</t>
        </is>
      </c>
    </row>
    <row r="3">
      <c r="A3" s="0" t="inlineStr">
        <is>
          <t xml:space="preserve"/>
        </is>
      </c>
      <c r="B3" s="0" t="inlineStr">
        <is>
          <t xml:space="preserve"/>
        </is>
      </c>
    </row>
    <row r="4">
      <c r="A4" s="0" t="inlineStr">
        <is>
          <t xml:space="preserve">How to open this in Google Sheets</t>
        </is>
      </c>
      <c r="B4" s="0" t="inlineStr">
        <is>
          <t xml:space="preserve"/>
        </is>
      </c>
    </row>
    <row r="5">
      <c r="A5" s="0" t="inlineStr">
        <is>
          <t xml:space="preserve">1. Go to https://drive.google.com</t>
        </is>
      </c>
      <c r="B5" s="0" t="inlineStr">
        <is>
          <t xml:space="preserve"/>
        </is>
      </c>
    </row>
    <row r="6">
      <c r="A6" s="0" t="inlineStr">
        <is>
          <t xml:space="preserve">2. Upload bird_ic_lora_dataset.xlsx</t>
        </is>
      </c>
      <c r="B6" s="0" t="inlineStr">
        <is>
          <t xml:space="preserve"/>
        </is>
      </c>
    </row>
    <row r="7">
      <c r="A7" s="0" t="inlineStr">
        <is>
          <t xml:space="preserve">3. Right-click the file -&gt; Open with -&gt; Google Sheets</t>
        </is>
      </c>
      <c r="B7" s="0" t="inlineStr">
        <is>
          <t xml:space="preserve"/>
        </is>
      </c>
    </row>
    <row r="8">
      <c r="A8" s="0" t="inlineStr">
        <is>
          <t xml:space="preserve">Or: https://sheets.new  then File -&gt; Import -&gt; Upload this file -&gt; Replace spreadsheet</t>
        </is>
      </c>
      <c r="B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</row>
    <row r="10">
      <c r="A10" s="0" t="inlineStr">
        <is>
          <t xml:space="preserve">Tabs</t>
        </is>
      </c>
      <c r="B10" s="0" t="inlineStr">
        <is>
          <t xml:space="preserve"/>
        </is>
      </c>
    </row>
    <row r="11">
      <c r="A11" s="0" t="inlineStr">
        <is>
          <t xml:space="preserve">How to collect</t>
        </is>
      </c>
      <c r="B11" s="0" t="inlineStr">
        <is>
          <t xml:space="preserve">What data you need and pairing rules</t>
        </is>
      </c>
    </row>
    <row r="12">
      <c r="A12" s="0" t="inlineStr">
        <is>
          <t xml:space="preserve">Empty Sky Clips</t>
        </is>
      </c>
      <c r="B12" s="0" t="inlineStr">
        <is>
          <t xml:space="preserve">Direct download links for sky with no birds</t>
        </is>
      </c>
    </row>
    <row r="13">
      <c r="A13" s="0" t="inlineStr">
        <is>
          <t xml:space="preserve">House Rooms</t>
        </is>
      </c>
      <c r="B13" s="0" t="inlineStr">
        <is>
          <t xml:space="preserve">Direct download links for indoor rooms (bird goes inside)</t>
        </is>
      </c>
    </row>
    <row r="14">
      <c r="A14" s="0" t="inlineStr">
        <is>
          <t xml:space="preserve">Browse more</t>
        </is>
      </c>
      <c r="B14" s="0" t="inlineStr">
        <is>
          <t xml:space="preserve">Search pages with hundreds more clips</t>
        </is>
      </c>
    </row>
    <row r="15">
      <c r="A15" s="0" t="inlineStr">
        <is>
          <t xml:space="preserve">Training pairs</t>
        </is>
      </c>
      <c r="B15" s="0" t="inlineStr">
        <is>
          <t xml:space="preserve">How sky and room clips connect as IC-LoRA pairs</t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</row>
    <row r="17">
      <c r="A17" s="0" t="inlineStr">
        <is>
          <t xml:space="preserve">IC-LoRA reminder</t>
        </is>
      </c>
      <c r="B17" s="0" t="inlineStr">
        <is>
          <t xml:space="preserve"/>
        </is>
      </c>
    </row>
    <row r="18">
      <c r="A18" s="0" t="inlineStr">
        <is>
          <t xml:space="preserve">Reference = empty scene. Target = same scene with the bird. Same length and resolution.</t>
        </is>
      </c>
      <c r="B18" s="0" t="inlineStr">
        <is>
          <t xml:space="preserve"/>
        </is>
      </c>
    </row>
  </sheetData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tabSelected="0"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70" customWidth="1"/>
    <col min="4" max="4" width="40" customWidth="1"/>
    <col min="5" max="5" width="40" customWidth="1"/>
  </cols>
  <sheetData>
    <row r="1">
      <c r="A1" s="1" t="inlineStr">
        <is>
          <t xml:space="preserve">Role</t>
        </is>
      </c>
      <c r="B1" s="1" t="inlineStr">
        <is>
          <t xml:space="preserve">Scene</t>
        </is>
      </c>
      <c r="C1" s="1" t="inlineStr">
        <is>
          <t xml:space="preserve">What is in the clip</t>
        </is>
      </c>
      <c r="D1" s="1" t="inlineStr">
        <is>
          <t xml:space="preserve">What is NOT in the clip</t>
        </is>
      </c>
      <c r="E1" s="1" t="inlineStr">
        <is>
          <t xml:space="preserve">Why</t>
        </is>
      </c>
    </row>
    <row r="2">
      <c r="A2" s="0" t="inlineStr">
        <is>
          <t xml:space="preserve">Reference</t>
        </is>
      </c>
      <c r="B2" s="0" t="inlineStr">
        <is>
          <t xml:space="preserve">Outdoor</t>
        </is>
      </c>
      <c r="C2" s="0" t="inlineStr">
        <is>
          <t xml:space="preserve">Empty sky (clear, cloudy, sunset, overcast)</t>
        </is>
      </c>
      <c r="D2" s="0" t="inlineStr">
        <is>
          <t xml:space="preserve">Birds, planes, text, people</t>
        </is>
      </c>
      <c r="E2" s="0" t="inlineStr">
        <is>
          <t xml:space="preserve">Before state for sky birds</t>
        </is>
      </c>
    </row>
    <row r="3">
      <c r="A3" s="0" t="inlineStr">
        <is>
          <t xml:space="preserve">Target</t>
        </is>
      </c>
      <c r="B3" s="0" t="inlineStr">
        <is>
          <t xml:space="preserve">Outdoor</t>
        </is>
      </c>
      <c r="C3" s="0" t="inlineStr">
        <is>
          <t xml:space="preserve">Same kind of sky WITH the bird flying / gliding</t>
        </is>
      </c>
      <c r="D3" s="0" t="inlineStr">
        <is>
          <t xml:space="preserve">Extra animals, logos</t>
        </is>
      </c>
      <c r="E3" s="0" t="inlineStr">
        <is>
          <t xml:space="preserve">After state for sky birds</t>
        </is>
      </c>
    </row>
    <row r="4">
      <c r="A4" s="0" t="inlineStr">
        <is>
          <t xml:space="preserve">Reference</t>
        </is>
      </c>
      <c r="B4" s="0" t="inlineStr">
        <is>
          <t xml:space="preserve">Indoor</t>
        </is>
      </c>
      <c r="C4" s="0" t="inlineStr">
        <is>
          <t xml:space="preserve">Empty or almost-empty house room, ideally with a window</t>
        </is>
      </c>
      <c r="D4" s="0" t="inlineStr">
        <is>
          <t xml:space="preserve">People, pets, birds</t>
        </is>
      </c>
      <c r="E4" s="0" t="inlineStr">
        <is>
          <t xml:space="preserve">Before state for indoor birds</t>
        </is>
      </c>
    </row>
    <row r="5">
      <c r="A5" s="0" t="inlineStr">
        <is>
          <t xml:space="preserve">Target</t>
        </is>
      </c>
      <c r="B5" s="0" t="inlineStr">
        <is>
          <t xml:space="preserve">Indoor</t>
        </is>
      </c>
      <c r="C5" s="0" t="inlineStr">
        <is>
          <t xml:space="preserve">Same room WITH the bird on sofa, lamp, sill, or flying across</t>
        </is>
      </c>
      <c r="D5" s="0" t="inlineStr">
        <is>
          <t xml:space="preserve">People, other animals</t>
        </is>
      </c>
      <c r="E5" s="0" t="inlineStr">
        <is>
          <t xml:space="preserve">After state so the bird is IN the house, not outside</t>
        </is>
      </c>
    </row>
    <row r="6">
      <c r="A6" s="0" t="inlineStr">
        <is>
          <t xml:space="preserve">Extra variety</t>
        </is>
      </c>
      <c r="B6" s="0" t="inlineStr">
        <is>
          <t xml:space="preserve">Both</t>
        </is>
      </c>
      <c r="C6" s="0" t="inlineStr">
        <is>
          <t xml:space="preserve">Living room, bedroom, kitchen, hallway; day and night</t>
        </is>
      </c>
      <c r="D6" s="0" t="inlineStr">
        <is>
          <t xml:space="preserve">Watermarks, heavy camera shake</t>
        </is>
      </c>
      <c r="E6" s="0" t="inlineStr">
        <is>
          <t xml:space="preserve">Stops the LoRA from only working on one room / one sky</t>
        </is>
      </c>
    </row>
  </sheetData>
  <autoFilter ref="A1:E6"/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tabSelected="0" workbookViewId="0">
      <pane ySplit="1" topLeftCell="A2" activePane="bottomLeft" state="frozen"/>
    </sheetView>
  </sheetViews>
  <cols>
    <col min="1" max="1" width="18" customWidth="1"/>
    <col min="2" max="2" width="90" customWidth="1"/>
  </cols>
  <sheetData>
    <row r="1">
      <c r="A1" s="1" t="inlineStr">
        <is>
          <t xml:space="preserve">Rule</t>
        </is>
      </c>
      <c r="B1" s="1" t="inlineStr">
        <is>
          <t xml:space="preserve">Detail</t>
        </is>
      </c>
    </row>
    <row r="2">
      <c r="A2" s="0" t="inlineStr">
        <is>
          <t xml:space="preserve">Pairing</t>
        </is>
      </c>
      <c r="B2" s="0" t="inlineStr">
        <is>
          <t xml:space="preserve">Each reference clip has a matching target clip (empty scene -&gt; scene with bird)</t>
        </is>
      </c>
    </row>
    <row r="3">
      <c r="A3" s="0" t="inlineStr">
        <is>
          <t xml:space="preserve">Match</t>
        </is>
      </c>
      <c r="B3" s="0" t="inlineStr">
        <is>
          <t xml:space="preserve">Reference and target must have the same length and resolution</t>
        </is>
      </c>
    </row>
    <row r="4">
      <c r="A4" s="0" t="inlineStr">
        <is>
          <t xml:space="preserve">Split domains</t>
        </is>
      </c>
      <c r="B4" s="0" t="inlineStr">
        <is>
          <t xml:space="preserve">Keep indoor pairs and outdoor pairs SEPARATE</t>
        </is>
      </c>
    </row>
    <row r="5">
      <c r="A5" s="0" t="inlineStr">
        <is>
          <t xml:space="preserve">Skip</t>
        </is>
      </c>
      <c r="B5" s="0" t="inlineStr">
        <is>
          <t xml:space="preserve">People, text, watermarks, other animals, or a bird already in the sky</t>
        </is>
      </c>
    </row>
    <row r="6">
      <c r="A6" s="0" t="inlineStr">
        <is>
          <t xml:space="preserve">Camera</t>
        </is>
      </c>
      <c r="B6" s="0" t="inlineStr">
        <is>
          <t xml:space="preserve">Prefer locked-off shots or slow pans</t>
        </is>
      </c>
    </row>
    <row r="7">
      <c r="A7" s="0" t="inlineStr">
        <is>
          <t xml:space="preserve">Start size</t>
        </is>
      </c>
      <c r="B7" s="0" t="inlineStr">
        <is>
          <t xml:space="preserve">About 20-40 clean pairs per domain (sky, then house) beats hundreds of messy clips</t>
        </is>
      </c>
    </row>
    <row r="8">
      <c r="A8" s="0" t="inlineStr">
        <is>
          <t xml:space="preserve">Indoor targets</t>
        </is>
      </c>
      <c r="B8" s="0" t="inlineStr">
        <is>
          <t xml:space="preserve">Rare on stock sites. Film a pet/stuffed bird, composite a bird onto empty rooms, or search parrot indoor / budgie living room / bird on window sill</t>
        </is>
      </c>
    </row>
  </sheetData>
  <autoFilter ref="A1:B8"/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tabSelected="0" workbookViewId="0">
      <pane ySplit="1" topLeftCell="A2" activePane="bottomLeft" state="frozen"/>
    </sheetView>
  </sheetViews>
  <cols>
    <col min="1" max="1" width="6" customWidth="1"/>
    <col min="2" max="2" width="12" customWidth="1"/>
    <col min="3" max="3" width="48" customWidth="1"/>
    <col min="4" max="4" width="70" customWidth="1"/>
    <col min="5" max="5" width="36" customWidth="1"/>
    <col min="6" max="6" width="14" customWidth="1"/>
  </cols>
  <sheetData>
    <row r="1">
      <c r="A1" s="1" t="inlineStr">
        <is>
          <t xml:space="preserve">#</t>
        </is>
      </c>
      <c r="B1" s="1" t="inlineStr">
        <is>
          <t xml:space="preserve">Source</t>
        </is>
      </c>
      <c r="C1" s="1" t="inlineStr">
        <is>
          <t xml:space="preserve">What it is</t>
        </is>
      </c>
      <c r="D1" s="1" t="inlineStr">
        <is>
          <t xml:space="preserve">Link</t>
        </is>
      </c>
      <c r="E1" s="1" t="inlineStr">
        <is>
          <t xml:space="preserve">Use as</t>
        </is>
      </c>
      <c r="F1" s="1" t="inlineStr">
        <is>
          <t xml:space="preserve">Downloaded?</t>
        </is>
      </c>
    </row>
    <row r="2">
      <c r="A2" s="0">
        <v>1</v>
      </c>
      <c r="B2" s="0" t="inlineStr">
        <is>
          <t xml:space="preserve">Mixkit</t>
        </is>
      </c>
      <c r="C2" s="0" t="inlineStr">
        <is>
          <t xml:space="preserve">Cloudy sky timelapse</t>
        </is>
      </c>
      <c r="D2" s="3" t="str">
        <f>HYPERLINK("https://mixkit.co/free-stock-video/time-lapse-video-of-a-cloudy-sky-284/","https://mixkit.co/free-stock-video/time-lapse-video-of-a-cloudy-sky-284/")</f>
      </c>
      <c r="E2" s="0" t="inlineStr">
        <is>
          <t xml:space="preserve">Outdoor reference (empty sky)</t>
        </is>
      </c>
      <c r="F2" s="0" t="inlineStr">
        <is>
          <t xml:space="preserve"/>
        </is>
      </c>
    </row>
    <row r="3">
      <c r="A3" s="0">
        <v>2</v>
      </c>
      <c r="B3" s="0" t="inlineStr">
        <is>
          <t xml:space="preserve">Mixkit</t>
        </is>
      </c>
      <c r="C3" s="0" t="inlineStr">
        <is>
          <t xml:space="preserve">Sky timelapse, moving clouds</t>
        </is>
      </c>
      <c r="D3" s="3" t="str">
        <f>HYPERLINK("https://mixkit.co/free-stock-video/sky-time-lapse-1905/","https://mixkit.co/free-stock-video/sky-time-lapse-1905/")</f>
      </c>
      <c r="E3" s="0" t="inlineStr">
        <is>
          <t xml:space="preserve">Outdoor reference (empty sky)</t>
        </is>
      </c>
      <c r="F3" s="0" t="inlineStr">
        <is>
          <t xml:space="preserve"/>
        </is>
      </c>
    </row>
    <row r="4">
      <c r="A4" s="0">
        <v>3</v>
      </c>
      <c r="B4" s="0" t="inlineStr">
        <is>
          <t xml:space="preserve">Mixkit</t>
        </is>
      </c>
      <c r="C4" s="0" t="inlineStr">
        <is>
          <t xml:space="preserve">White clouds on clear blue sky</t>
        </is>
      </c>
      <c r="D4" s="3" t="str">
        <f>HYPERLINK("https://mixkit.co/free-stock-video/white-clouds-moving-across-a-clear-blue-sky-51102/","https://mixkit.co/free-stock-video/white-clouds-moving-across-a-clear-blue-sky-51102/")</f>
      </c>
      <c r="E4" s="0" t="inlineStr">
        <is>
          <t xml:space="preserve">Outdoor reference (empty sky)</t>
        </is>
      </c>
      <c r="F4" s="0" t="inlineStr">
        <is>
          <t xml:space="preserve"/>
        </is>
      </c>
    </row>
    <row r="5">
      <c r="A5" s="0">
        <v>4</v>
      </c>
      <c r="B5" s="0" t="inlineStr">
        <is>
          <t xml:space="preserve">Mixkit</t>
        </is>
      </c>
      <c r="C5" s="0" t="inlineStr">
        <is>
          <t xml:space="preserve">White clouds moving quickly</t>
        </is>
      </c>
      <c r="D5" s="3" t="str">
        <f>HYPERLINK("https://mixkit.co/free-stock-video/white-clouds-moving-across-a-clear-blue-sky-quickly-51105/","https://mixkit.co/free-stock-video/white-clouds-moving-across-a-clear-blue-sky-quickly-51105/")</f>
      </c>
      <c r="E5" s="0" t="inlineStr">
        <is>
          <t xml:space="preserve">Outdoor reference (empty sky)</t>
        </is>
      </c>
      <c r="F5" s="0" t="inlineStr">
        <is>
          <t xml:space="preserve"/>
        </is>
      </c>
    </row>
    <row r="6">
      <c r="A6" s="0">
        <v>5</v>
      </c>
      <c r="B6" s="0" t="inlineStr">
        <is>
          <t xml:space="preserve">Mixkit</t>
        </is>
      </c>
      <c r="C6" s="0" t="inlineStr">
        <is>
          <t xml:space="preserve">Fluffy clouds, bright blue sky (4K)</t>
        </is>
      </c>
      <c r="D6" s="3" t="str">
        <f>HYPERLINK("https://mixkit.co/free-stock-video/fluffy-clouds-against-a-bright-blue-sky-100715/","https://mixkit.co/free-stock-video/fluffy-clouds-against-a-bright-blue-sky-100715/")</f>
      </c>
      <c r="E6" s="0" t="inlineStr">
        <is>
          <t xml:space="preserve">Outdoor reference (empty sky)</t>
        </is>
      </c>
      <c r="F6" s="0" t="inlineStr">
        <is>
          <t xml:space="preserve"/>
        </is>
      </c>
    </row>
    <row r="7">
      <c r="A7" s="0">
        <v>6</v>
      </c>
      <c r="B7" s="0" t="inlineStr">
        <is>
          <t xml:space="preserve">Mixkit</t>
        </is>
      </c>
      <c r="C7" s="0" t="inlineStr">
        <is>
          <t xml:space="preserve">Fluffy clouds, open sky</t>
        </is>
      </c>
      <c r="D7" s="3" t="str">
        <f>HYPERLINK("https://mixkit.co/free-stock-video/fluffy-clouds-floating-gently-across-a-great-blue-open-sky-44967/","https://mixkit.co/free-stock-video/fluffy-clouds-floating-gently-across-a-great-blue-open-sky-44967/")</f>
      </c>
      <c r="E7" s="0" t="inlineStr">
        <is>
          <t xml:space="preserve">Outdoor reference (empty sky)</t>
        </is>
      </c>
      <c r="F7" s="0" t="inlineStr">
        <is>
          <t xml:space="preserve"/>
        </is>
      </c>
    </row>
    <row r="8">
      <c r="A8" s="0">
        <v>7</v>
      </c>
      <c r="B8" s="0" t="inlineStr">
        <is>
          <t xml:space="preserve">Mixkit</t>
        </is>
      </c>
      <c r="C8" s="0" t="inlineStr">
        <is>
          <t xml:space="preserve">Blue sky, wind-blown clouds</t>
        </is>
      </c>
      <c r="D8" s="3" t="str">
        <f>HYPERLINK("https://mixkit.co/free-stock-video/blue-sky-background-as-the-clouds-travel-blown-by-the-26108/","https://mixkit.co/free-stock-video/blue-sky-background-as-the-clouds-travel-blown-by-the-26108/")</f>
      </c>
      <c r="E8" s="0" t="inlineStr">
        <is>
          <t xml:space="preserve">Outdoor reference (empty sky)</t>
        </is>
      </c>
      <c r="F8" s="0" t="inlineStr">
        <is>
          <t xml:space="preserve"/>
        </is>
      </c>
    </row>
    <row r="9">
      <c r="A9" s="0">
        <v>8</v>
      </c>
      <c r="B9" s="0" t="inlineStr">
        <is>
          <t xml:space="preserve">Mixkit</t>
        </is>
      </c>
      <c r="C9" s="0" t="inlineStr">
        <is>
          <t xml:space="preserve">Sun + thin clouds timelapse</t>
        </is>
      </c>
      <c r="D9" s="3" t="str">
        <f>HYPERLINK("https://mixkit.co/free-stock-video/sky-view-with-sun-and-clouds-in-a-timelapse-50160/","https://mixkit.co/free-stock-video/sky-view-with-sun-and-clouds-in-a-timelapse-50160/")</f>
      </c>
      <c r="E9" s="0" t="inlineStr">
        <is>
          <t xml:space="preserve">Outdoor reference (empty sky)</t>
        </is>
      </c>
      <c r="F9" s="0" t="inlineStr">
        <is>
          <t xml:space="preserve"/>
        </is>
      </c>
    </row>
    <row r="10">
      <c r="A10" s="0">
        <v>9</v>
      </c>
      <c r="B10" s="0" t="inlineStr">
        <is>
          <t xml:space="preserve">Mixkit</t>
        </is>
      </c>
      <c r="C10" s="0" t="inlineStr">
        <is>
          <t xml:space="preserve">Clouds moving across blue sky</t>
        </is>
      </c>
      <c r="D10" s="3" t="str">
        <f>HYPERLINK("https://mixkit.co/free-stock-video/timelapse-of-clouds-moving-across-a-blue-sky-45272/","https://mixkit.co/free-stock-video/timelapse-of-clouds-moving-across-a-blue-sky-45272/")</f>
      </c>
      <c r="E10" s="0" t="inlineStr">
        <is>
          <t xml:space="preserve">Outdoor reference (empty sky)</t>
        </is>
      </c>
      <c r="F10" s="0" t="inlineStr">
        <is>
          <t xml:space="preserve"/>
        </is>
      </c>
    </row>
    <row r="11">
      <c r="A11" s="0">
        <v>10</v>
      </c>
      <c r="B11" s="0" t="inlineStr">
        <is>
          <t xml:space="preserve">Mixkit</t>
        </is>
      </c>
      <c r="C11" s="0" t="inlineStr">
        <is>
          <t xml:space="preserve">Clouds passing across the sun</t>
        </is>
      </c>
      <c r="D11" s="3" t="str">
        <f>HYPERLINK("https://mixkit.co/free-stock-video/clouds-passing-across-the-sun-20734/","https://mixkit.co/free-stock-video/clouds-passing-across-the-sun-20734/")</f>
      </c>
      <c r="E11" s="0" t="inlineStr">
        <is>
          <t xml:space="preserve">Outdoor reference (empty sky)</t>
        </is>
      </c>
      <c r="F11" s="0" t="inlineStr">
        <is>
          <t xml:space="preserve"/>
        </is>
      </c>
    </row>
    <row r="12">
      <c r="A12" s="0">
        <v>11</v>
      </c>
      <c r="B12" s="0" t="inlineStr">
        <is>
          <t xml:space="preserve">Mixkit</t>
        </is>
      </c>
      <c r="C12" s="0" t="inlineStr">
        <is>
          <t xml:space="preserve">Desert/cactus + clouds</t>
        </is>
      </c>
      <c r="D12" s="3" t="str">
        <f>HYPERLINK("https://mixkit.co/free-stock-video/clouds-travel-along-the-blue-sky-in-the-presence-of-50136/","https://mixkit.co/free-stock-video/clouds-travel-along-the-blue-sky-in-the-presence-of-50136/")</f>
      </c>
      <c r="E12" s="0" t="inlineStr">
        <is>
          <t xml:space="preserve">Outdoor reference (empty sky)</t>
        </is>
      </c>
      <c r="F12" s="0" t="inlineStr">
        <is>
          <t xml:space="preserve"/>
        </is>
      </c>
    </row>
    <row r="13">
      <c r="A13" s="0">
        <v>12</v>
      </c>
      <c r="B13" s="0" t="inlineStr">
        <is>
          <t xml:space="preserve">Mixkit</t>
        </is>
      </c>
      <c r="C13" s="0" t="inlineStr">
        <is>
          <t xml:space="preserve">Sky reflecting on a building</t>
        </is>
      </c>
      <c r="D13" s="3" t="str">
        <f>HYPERLINK("https://mixkit.co/free-stock-video/time-lapse-of-sky-reflecting-on-a-building-101379/","https://mixkit.co/free-stock-video/time-lapse-of-sky-reflecting-on-a-building-101379/")</f>
      </c>
      <c r="E13" s="0" t="inlineStr">
        <is>
          <t xml:space="preserve">Outdoor reference (empty sky)</t>
        </is>
      </c>
      <c r="F13" s="0" t="inlineStr">
        <is>
          <t xml:space="preserve"/>
        </is>
      </c>
    </row>
    <row r="14">
      <c r="A14" s="0">
        <v>13</v>
      </c>
      <c r="B14" s="0" t="inlineStr">
        <is>
          <t xml:space="preserve">Coverr</t>
        </is>
      </c>
      <c r="C14" s="0" t="inlineStr">
        <is>
          <t xml:space="preserve">Cloudy sky timelapse</t>
        </is>
      </c>
      <c r="D14" s="3" t="str">
        <f>HYPERLINK("https://coverr.co/videos/cloudy-sky-2v00ohjpqe","https://coverr.co/videos/cloudy-sky-2v00ohjpqe")</f>
      </c>
      <c r="E14" s="0" t="inlineStr">
        <is>
          <t xml:space="preserve">Outdoor reference (empty sky)</t>
        </is>
      </c>
      <c r="F14" s="0" t="inlineStr">
        <is>
          <t xml:space="preserve"/>
        </is>
      </c>
    </row>
    <row r="15">
      <c r="A15" s="0">
        <v>14</v>
      </c>
      <c r="B15" s="0" t="inlineStr">
        <is>
          <t xml:space="preserve">Coverr</t>
        </is>
      </c>
      <c r="C15" s="0" t="inlineStr">
        <is>
          <t xml:space="preserve">Clouds moving during the day</t>
        </is>
      </c>
      <c r="D15" s="3" t="str">
        <f>HYPERLINK("https://coverr.co/videos/timelapse-of-clouds-dsal4pxnyw","https://coverr.co/videos/timelapse-of-clouds-dsal4pxnyw")</f>
      </c>
      <c r="E15" s="0" t="inlineStr">
        <is>
          <t xml:space="preserve">Outdoor reference (empty sky)</t>
        </is>
      </c>
      <c r="F15" s="0" t="inlineStr">
        <is>
          <t xml:space="preserve"/>
        </is>
      </c>
    </row>
    <row r="16">
      <c r="A16" s="0">
        <v>15</v>
      </c>
      <c r="B16" s="0" t="inlineStr">
        <is>
          <t xml:space="preserve">Coverr</t>
        </is>
      </c>
      <c r="C16" s="0" t="inlineStr">
        <is>
          <t xml:space="preserve">Clouds + bright blue sky</t>
        </is>
      </c>
      <c r="D16" s="3" t="str">
        <f>HYPERLINK("https://coverr.co/videos/timelapse-of-the-clouds-oj4mcuuvzl","https://coverr.co/videos/timelapse-of-the-clouds-oj4mcuuvzl")</f>
      </c>
      <c r="E16" s="0" t="inlineStr">
        <is>
          <t xml:space="preserve">Outdoor reference (empty sky)</t>
        </is>
      </c>
      <c r="F16" s="0" t="inlineStr">
        <is>
          <t xml:space="preserve"/>
        </is>
      </c>
    </row>
    <row r="17">
      <c r="A17" s="0">
        <v>16</v>
      </c>
      <c r="B17" s="0" t="inlineStr">
        <is>
          <t xml:space="preserve">Pexels</t>
        </is>
      </c>
      <c r="C17" s="0" t="inlineStr">
        <is>
          <t xml:space="preserve">Blue sky + clouds timelapse</t>
        </is>
      </c>
      <c r="D17" s="3" t="str">
        <f>HYPERLINK("https://www.pexels.com/video/serene-timelapse-of-blue-sky-with-clouds-29461557/","https://www.pexels.com/video/serene-timelapse-of-blue-sky-with-clouds-29461557/")</f>
      </c>
      <c r="E17" s="0" t="inlineStr">
        <is>
          <t xml:space="preserve">Outdoor reference (empty sky)</t>
        </is>
      </c>
      <c r="F17" s="0" t="inlineStr">
        <is>
          <t xml:space="preserve"/>
        </is>
      </c>
    </row>
    <row r="18">
      <c r="A18" s="0">
        <v>17</v>
      </c>
      <c r="B18" s="0" t="inlineStr">
        <is>
          <t xml:space="preserve">Pexels</t>
        </is>
      </c>
      <c r="C18" s="0" t="inlineStr">
        <is>
          <t xml:space="preserve">White clouds on blue sky</t>
        </is>
      </c>
      <c r="D18" s="3" t="str">
        <f>HYPERLINK("https://www.pexels.com/video/serene-white-clouds-against-a-blue-sky-33545030/","https://www.pexels.com/video/serene-white-clouds-against-a-blue-sky-33545030/")</f>
      </c>
      <c r="E18" s="0" t="inlineStr">
        <is>
          <t xml:space="preserve">Outdoor reference (empty sky)</t>
        </is>
      </c>
      <c r="F18" s="0" t="inlineStr">
        <is>
          <t xml:space="preserve"/>
        </is>
      </c>
    </row>
    <row r="19">
      <c r="A19" s="0">
        <v>18</v>
      </c>
      <c r="B19" s="0" t="inlineStr">
        <is>
          <t xml:space="preserve">Pexels</t>
        </is>
      </c>
      <c r="C19" s="0" t="inlineStr">
        <is>
          <t xml:space="preserve">Cirrus clouds over a field</t>
        </is>
      </c>
      <c r="D19" s="3" t="str">
        <f>HYPERLINK("https://www.pexels.com/video/vast-open-sky-with-cirrus-clouds-over-dry-field-32573013/","https://www.pexels.com/video/vast-open-sky-with-cirrus-clouds-over-dry-field-32573013/")</f>
      </c>
      <c r="E19" s="0" t="inlineStr">
        <is>
          <t xml:space="preserve">Outdoor reference (empty sky)</t>
        </is>
      </c>
      <c r="F19" s="0" t="inlineStr">
        <is>
          <t xml:space="preserve"/>
        </is>
      </c>
    </row>
    <row r="20">
      <c r="A20" s="0">
        <v>19</v>
      </c>
      <c r="B20" s="0" t="inlineStr">
        <is>
          <t xml:space="preserve">Pexels</t>
        </is>
      </c>
      <c r="C20" s="0" t="inlineStr">
        <is>
          <t xml:space="preserve">Aerial cloudscape (check: no actual birds)</t>
        </is>
      </c>
      <c r="D20" s="3" t="str">
        <f>HYPERLINK("https://www.pexels.com/video/cloudscape-in-birds-eye-view-12278365/","https://www.pexels.com/video/cloudscape-in-birds-eye-view-12278365/")</f>
      </c>
      <c r="E20" s="0" t="inlineStr">
        <is>
          <t xml:space="preserve">Outdoor reference (empty sky) — verify no birds</t>
        </is>
      </c>
      <c r="F20" s="0" t="inlineStr">
        <is>
          <t xml:space="preserve"/>
        </is>
      </c>
    </row>
  </sheetData>
  <autoFilter ref="A1:F20"/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tabSelected="0" workbookViewId="0">
      <pane ySplit="1" topLeftCell="A2" activePane="bottomLeft" state="frozen"/>
    </sheetView>
  </sheetViews>
  <cols>
    <col min="1" max="1" width="6" customWidth="1"/>
    <col min="2" max="2" width="12" customWidth="1"/>
    <col min="3" max="3" width="40" customWidth="1"/>
    <col min="4" max="4" width="36" customWidth="1"/>
    <col min="5" max="5" width="70" customWidth="1"/>
    <col min="6" max="6" width="36" customWidth="1"/>
    <col min="7" max="7" width="14" customWidth="1"/>
  </cols>
  <sheetData>
    <row r="1">
      <c r="A1" s="1" t="inlineStr">
        <is>
          <t xml:space="preserve">#</t>
        </is>
      </c>
      <c r="B1" s="1" t="inlineStr">
        <is>
          <t xml:space="preserve">Source</t>
        </is>
      </c>
      <c r="C1" s="1" t="inlineStr">
        <is>
          <t xml:space="preserve">Room type</t>
        </is>
      </c>
      <c r="D1" s="1" t="inlineStr">
        <is>
          <t xml:space="preserve">Why it helps</t>
        </is>
      </c>
      <c r="E1" s="1" t="inlineStr">
        <is>
          <t xml:space="preserve">Link</t>
        </is>
      </c>
      <c r="F1" s="1" t="inlineStr">
        <is>
          <t xml:space="preserve">Use as</t>
        </is>
      </c>
      <c r="G1" s="1" t="inlineStr">
        <is>
          <t xml:space="preserve">Downloaded?</t>
        </is>
      </c>
    </row>
    <row r="2">
      <c r="A2" s="0">
        <v>1</v>
      </c>
      <c r="B2" s="0" t="inlineStr">
        <is>
          <t xml:space="preserve">Mixkit</t>
        </is>
      </c>
      <c r="C2" s="0" t="inlineStr">
        <is>
          <t xml:space="preserve">Living room, wood furniture, windows</t>
        </is>
      </c>
      <c r="D2" s="0" t="inlineStr">
        <is>
          <t xml:space="preserve">Indoor house look</t>
        </is>
      </c>
      <c r="E2" s="3" t="str">
        <f>HYPERLINK("https://mixkit.co/free-stock-video/modern-living-room-with-wooden-furniture-3090/","https://mixkit.co/free-stock-video/modern-living-room-with-wooden-furniture-3090/")</f>
      </c>
      <c r="F2" s="0" t="inlineStr">
        <is>
          <t xml:space="preserve">Indoor reference (empty room)</t>
        </is>
      </c>
      <c r="G2" s="0" t="inlineStr">
        <is>
          <t xml:space="preserve"/>
        </is>
      </c>
    </row>
    <row r="3">
      <c r="A3" s="0">
        <v>2</v>
      </c>
      <c r="B3" s="0" t="inlineStr">
        <is>
          <t xml:space="preserve">Mixkit</t>
        </is>
      </c>
      <c r="C3" s="0" t="inlineStr">
        <is>
          <t xml:space="preserve">Living room, gray sofa</t>
        </is>
      </c>
      <c r="D3" s="0" t="inlineStr">
        <is>
          <t xml:space="preserve">Perch / fly-across space</t>
        </is>
      </c>
      <c r="E3" s="3" t="str">
        <f>HYPERLINK("https://mixkit.co/free-stock-video/minimalist-room-with-gray-sofa-3110/","https://mixkit.co/free-stock-video/minimalist-room-with-gray-sofa-3110/")</f>
      </c>
      <c r="F3" s="0" t="inlineStr">
        <is>
          <t xml:space="preserve">Indoor reference (empty room)</t>
        </is>
      </c>
      <c r="G3" s="0" t="inlineStr">
        <is>
          <t xml:space="preserve"/>
        </is>
      </c>
    </row>
    <row r="4">
      <c r="A4" s="0">
        <v>3</v>
      </c>
      <c r="B4" s="0" t="inlineStr">
        <is>
          <t xml:space="preserve">Mixkit</t>
        </is>
      </c>
      <c r="C4" s="0" t="inlineStr">
        <is>
          <t xml:space="preserve">Room, wooden table + windows</t>
        </is>
      </c>
      <c r="D4" s="0" t="inlineStr">
        <is>
          <t xml:space="preserve">Window = inside vs outside</t>
        </is>
      </c>
      <c r="E4" s="3" t="str">
        <f>HYPERLINK("https://mixkit.co/free-stock-video/minimalist-room-with-wooden-furniture-3091/","https://mixkit.co/free-stock-video/minimalist-room-with-wooden-furniture-3091/")</f>
      </c>
      <c r="F4" s="0" t="inlineStr">
        <is>
          <t xml:space="preserve">Indoor reference (empty room)</t>
        </is>
      </c>
      <c r="G4" s="0" t="inlineStr">
        <is>
          <t xml:space="preserve"/>
        </is>
      </c>
    </row>
    <row r="5">
      <c r="A5" s="0">
        <v>4</v>
      </c>
      <c r="B5" s="0" t="inlineStr">
        <is>
          <t xml:space="preserve">Mixkit</t>
        </is>
      </c>
      <c r="C5" s="0" t="inlineStr">
        <is>
          <t xml:space="preserve">Bedroom, two beds, open window</t>
        </is>
      </c>
      <c r="D5" s="0" t="inlineStr">
        <is>
          <t xml:space="preserve">Strong in-the-house cue</t>
        </is>
      </c>
      <c r="E5" s="3" t="str">
        <f>HYPERLINK("https://mixkit.co/free-stock-video/minimalist-room-with-a-couple-of-beds-3109/","https://mixkit.co/free-stock-video/minimalist-room-with-a-couple-of-beds-3109/")</f>
      </c>
      <c r="F5" s="0" t="inlineStr">
        <is>
          <t xml:space="preserve">Indoor reference (empty room)</t>
        </is>
      </c>
      <c r="G5" s="0" t="inlineStr">
        <is>
          <t xml:space="preserve"/>
        </is>
      </c>
    </row>
    <row r="6">
      <c r="A6" s="0">
        <v>5</v>
      </c>
      <c r="B6" s="0" t="inlineStr">
        <is>
          <t xml:space="preserve">Mixkit</t>
        </is>
      </c>
      <c r="C6" s="0" t="inlineStr">
        <is>
          <t xml:space="preserve">Master bedroom + window</t>
        </is>
      </c>
      <c r="D6" s="0" t="inlineStr">
        <is>
          <t xml:space="preserve">Indoor + view outside</t>
        </is>
      </c>
      <c r="E6" s="3" t="str">
        <f>HYPERLINK("https://mixkit.co/free-stock-video/master-bedroom-and-window-3111/","https://mixkit.co/free-stock-video/master-bedroom-and-window-3111/")</f>
      </c>
      <c r="F6" s="0" t="inlineStr">
        <is>
          <t xml:space="preserve">Indoor reference (empty room)</t>
        </is>
      </c>
      <c r="G6" s="0" t="inlineStr">
        <is>
          <t xml:space="preserve"/>
        </is>
      </c>
    </row>
    <row r="7">
      <c r="A7" s="0">
        <v>6</v>
      </c>
      <c r="B7" s="0" t="inlineStr">
        <is>
          <t xml:space="preserve">Mixkit</t>
        </is>
      </c>
      <c r="C7" s="0" t="inlineStr">
        <is>
          <t xml:space="preserve">Kitchen</t>
        </is>
      </c>
      <c r="D7" s="0" t="inlineStr">
        <is>
          <t xml:space="preserve">Second indoor room type</t>
        </is>
      </c>
      <c r="E7" s="3" t="str">
        <f>HYPERLINK("https://mixkit.co/free-stock-video/interior-view-of-a-spacious-modern-kitchen-43033/","https://mixkit.co/free-stock-video/interior-view-of-a-spacious-modern-kitchen-43033/")</f>
      </c>
      <c r="F7" s="0" t="inlineStr">
        <is>
          <t xml:space="preserve">Indoor reference (empty room)</t>
        </is>
      </c>
      <c r="G7" s="0" t="inlineStr">
        <is>
          <t xml:space="preserve"/>
        </is>
      </c>
    </row>
    <row r="8">
      <c r="A8" s="0">
        <v>7</v>
      </c>
      <c r="B8" s="0" t="inlineStr">
        <is>
          <t xml:space="preserve">Mixkit</t>
        </is>
      </c>
      <c r="C8" s="0" t="inlineStr">
        <is>
          <t xml:space="preserve">Bedroom, large window</t>
        </is>
      </c>
      <c r="D8" s="0" t="inlineStr">
        <is>
          <t xml:space="preserve">Bird can sit on sill / fly in</t>
        </is>
      </c>
      <c r="E8" s="3" t="str">
        <f>HYPERLINK("https://mixkit.co/free-stock-video/hotel-room-with-modern-minimalist-style-4488/","https://mixkit.co/free-stock-video/hotel-room-with-modern-minimalist-style-4488/")</f>
      </c>
      <c r="F8" s="0" t="inlineStr">
        <is>
          <t xml:space="preserve">Indoor reference (empty room)</t>
        </is>
      </c>
      <c r="G8" s="0" t="inlineStr">
        <is>
          <t xml:space="preserve"/>
        </is>
      </c>
    </row>
    <row r="9">
      <c r="A9" s="0">
        <v>8</v>
      </c>
      <c r="B9" s="0" t="inlineStr">
        <is>
          <t xml:space="preserve">Mixkit</t>
        </is>
      </c>
      <c r="C9" s="0" t="inlineStr">
        <is>
          <t xml:space="preserve">Luxury room pan</t>
        </is>
      </c>
      <c r="D9" s="0" t="inlineStr">
        <is>
          <t xml:space="preserve">Slow camera through a room</t>
        </is>
      </c>
      <c r="E9" s="3" t="str">
        <f>HYPERLINK("https://mixkit.co/free-stock-video/luxury-hotel-room-panning-shot-4196/","https://mixkit.co/free-stock-video/luxury-hotel-room-panning-shot-4196/")</f>
      </c>
      <c r="F9" s="0" t="inlineStr">
        <is>
          <t xml:space="preserve">Indoor reference (empty room)</t>
        </is>
      </c>
      <c r="G9" s="0" t="inlineStr">
        <is>
          <t xml:space="preserve"/>
        </is>
      </c>
    </row>
    <row r="10">
      <c r="A10" s="0">
        <v>9</v>
      </c>
      <c r="B10" s="0" t="inlineStr">
        <is>
          <t xml:space="preserve">Mixkit</t>
        </is>
      </c>
      <c r="C10" s="0" t="inlineStr">
        <is>
          <t xml:space="preserve">Hotel room pan, wood furniture</t>
        </is>
      </c>
      <c r="D10" s="0" t="inlineStr">
        <is>
          <t xml:space="preserve">Another indoor layout</t>
        </is>
      </c>
      <c r="E10" s="3" t="str">
        <f>HYPERLINK("https://mixkit.co/free-stock-video/pan-shot-of-the-interior-of-a-hotel-room-4198/","https://mixkit.co/free-stock-video/pan-shot-of-the-interior-of-a-hotel-room-4198/")</f>
      </c>
      <c r="F10" s="0" t="inlineStr">
        <is>
          <t xml:space="preserve">Indoor reference (empty room)</t>
        </is>
      </c>
      <c r="G10" s="0" t="inlineStr">
        <is>
          <t xml:space="preserve"/>
        </is>
      </c>
    </row>
    <row r="11">
      <c r="A11" s="0">
        <v>10</v>
      </c>
      <c r="B11" s="0" t="inlineStr">
        <is>
          <t xml:space="preserve">Mixkit</t>
        </is>
      </c>
      <c r="C11" s="0" t="inlineStr">
        <is>
          <t xml:space="preserve">White boutique room</t>
        </is>
      </c>
      <c r="D11" s="0" t="inlineStr">
        <is>
          <t xml:space="preserve">Bright indoor space</t>
        </is>
      </c>
      <c r="E11" s="3" t="str">
        <f>HYPERLINK("https://mixkit.co/free-stock-video/white-luxury-boutique-hotel-room-4046/","https://mixkit.co/free-stock-video/white-luxury-boutique-hotel-room-4046/")</f>
      </c>
      <c r="F11" s="0" t="inlineStr">
        <is>
          <t xml:space="preserve">Indoor reference (empty room)</t>
        </is>
      </c>
      <c r="G11" s="0" t="inlineStr">
        <is>
          <t xml:space="preserve"/>
        </is>
      </c>
    </row>
    <row r="12">
      <c r="A12" s="0">
        <v>11</v>
      </c>
      <c r="B12" s="0" t="inlineStr">
        <is>
          <t xml:space="preserve">Mixkit</t>
        </is>
      </c>
      <c r="C12" s="0" t="inlineStr">
        <is>
          <t xml:space="preserve">Classic room, bed + sofa</t>
        </is>
      </c>
      <c r="D12" s="0" t="inlineStr">
        <is>
          <t xml:space="preserve">Living/sleep mix</t>
        </is>
      </c>
      <c r="E12" s="3" t="str">
        <f>HYPERLINK("https://mixkit.co/free-stock-video/hotel-room-with-breakfast-served-4019/","https://mixkit.co/free-stock-video/hotel-room-with-breakfast-served-4019/")</f>
      </c>
      <c r="F12" s="0" t="inlineStr">
        <is>
          <t xml:space="preserve">Indoor reference (empty room)</t>
        </is>
      </c>
      <c r="G12" s="0" t="inlineStr">
        <is>
          <t xml:space="preserve"/>
        </is>
      </c>
    </row>
    <row r="13">
      <c r="A13" s="0">
        <v>12</v>
      </c>
      <c r="B13" s="0" t="inlineStr">
        <is>
          <t xml:space="preserve">Mixkit</t>
        </is>
      </c>
      <c r="C13" s="0" t="inlineStr">
        <is>
          <t xml:space="preserve">Decorated room + terrace</t>
        </is>
      </c>
      <c r="D13" s="0" t="inlineStr">
        <is>
          <t xml:space="preserve">Indoor, then opening out</t>
        </is>
      </c>
      <c r="E13" s="3" t="str">
        <f>HYPERLINK("https://mixkit.co/free-stock-video/beautifully-decorated-hotel-room-4030/","https://mixkit.co/free-stock-video/beautifully-decorated-hotel-room-4030/")</f>
      </c>
      <c r="F13" s="0" t="inlineStr">
        <is>
          <t xml:space="preserve">Indoor reference (empty room)</t>
        </is>
      </c>
      <c r="G13" s="0" t="inlineStr">
        <is>
          <t xml:space="preserve"/>
        </is>
      </c>
    </row>
    <row r="14">
      <c r="A14" s="0">
        <v>13</v>
      </c>
      <c r="B14" s="0" t="inlineStr">
        <is>
          <t xml:space="preserve">Mixkit</t>
        </is>
      </c>
      <c r="C14" s="0" t="inlineStr">
        <is>
          <t xml:space="preserve">Vintage living room</t>
        </is>
      </c>
      <c r="D14" s="0" t="inlineStr">
        <is>
          <t xml:space="preserve">Different furniture style</t>
        </is>
      </c>
      <c r="E14" s="3" t="str">
        <f>HYPERLINK("https://mixkit.co/free-stock-video/vintage-living-room-setup-100891/","https://mixkit.co/free-stock-video/vintage-living-room-setup-100891/")</f>
      </c>
      <c r="F14" s="0" t="inlineStr">
        <is>
          <t xml:space="preserve">Indoor reference (empty room)</t>
        </is>
      </c>
      <c r="G14" s="0" t="inlineStr">
        <is>
          <t xml:space="preserve"/>
        </is>
      </c>
    </row>
    <row r="15">
      <c r="A15" s="0">
        <v>14</v>
      </c>
      <c r="B15" s="0" t="inlineStr">
        <is>
          <t xml:space="preserve">Coverr</t>
        </is>
      </c>
      <c r="C15" s="0" t="inlineStr">
        <is>
          <t xml:space="preserve">Home interior + garden view</t>
        </is>
      </c>
      <c r="D15" s="0" t="inlineStr">
        <is>
          <t xml:space="preserve">Window to outside</t>
        </is>
      </c>
      <c r="E15" s="3" t="str">
        <f>HYPERLINK("https://coverr.co/videos/contemporary-home-interior-with-scenic-view","https://coverr.co/videos/contemporary-home-interior-with-scenic-view")</f>
      </c>
      <c r="F15" s="0" t="inlineStr">
        <is>
          <t xml:space="preserve">Indoor reference (empty room)</t>
        </is>
      </c>
      <c r="G15" s="0" t="inlineStr">
        <is>
          <t xml:space="preserve"/>
        </is>
      </c>
    </row>
    <row r="16">
      <c r="A16" s="0">
        <v>15</v>
      </c>
      <c r="B16" s="0" t="inlineStr">
        <is>
          <t xml:space="preserve">Coverr</t>
        </is>
      </c>
      <c r="C16" s="0" t="inlineStr">
        <is>
          <t xml:space="preserve">Empty interior, concrete</t>
        </is>
      </c>
      <c r="D16" s="0" t="inlineStr">
        <is>
          <t xml:space="preserve">Empty-room reference</t>
        </is>
      </c>
      <c r="E16" s="3" t="str">
        <f>HYPERLINK("https://coverr.co/videos/empty-minimal-gallery-space-with-polished-concrete-floor","https://coverr.co/videos/empty-minimal-gallery-space-with-polished-concrete-floor")</f>
      </c>
      <c r="F16" s="0" t="inlineStr">
        <is>
          <t xml:space="preserve">Indoor reference (empty room)</t>
        </is>
      </c>
      <c r="G16" s="0" t="inlineStr">
        <is>
          <t xml:space="preserve"/>
        </is>
      </c>
    </row>
    <row r="17">
      <c r="A17" s="0">
        <v>16</v>
      </c>
      <c r="B17" s="0" t="inlineStr">
        <is>
          <t xml:space="preserve">Pixabay</t>
        </is>
      </c>
      <c r="C17" s="0" t="inlineStr">
        <is>
          <t xml:space="preserve">Cozy living room</t>
        </is>
      </c>
      <c r="D17" s="0" t="inlineStr">
        <is>
          <t xml:space="preserve">House interior</t>
        </is>
      </c>
      <c r="E17" s="3" t="str">
        <f>HYPERLINK("https://pixabay.com/videos/cozy-fantasy-livingroom-apartment-176358/","https://pixabay.com/videos/cozy-fantasy-livingroom-apartment-176358/")</f>
      </c>
      <c r="F17" s="0" t="inlineStr">
        <is>
          <t xml:space="preserve">Indoor reference (empty room)</t>
        </is>
      </c>
      <c r="G17" s="0" t="inlineStr">
        <is>
          <t xml:space="preserve"/>
        </is>
      </c>
    </row>
    <row r="18">
      <c r="A18" s="0">
        <v>17</v>
      </c>
      <c r="B18" s="0" t="inlineStr">
        <is>
          <t xml:space="preserve">Pixabay</t>
        </is>
      </c>
      <c r="C18" s="0" t="inlineStr">
        <is>
          <t xml:space="preserve">Clouds through a window</t>
        </is>
      </c>
      <c r="D18" s="0" t="inlineStr">
        <is>
          <t xml:space="preserve">Sky seen FROM INSIDE</t>
        </is>
      </c>
      <c r="E18" s="3" t="str">
        <f>HYPERLINK("https://pixabay.com/videos/cloud-window-sky-advertisement-110924/","https://pixabay.com/videos/cloud-window-sky-advertisement-110924/")</f>
      </c>
      <c r="F18" s="0" t="inlineStr">
        <is>
          <t xml:space="preserve">Indoor reference (window to sky)</t>
        </is>
      </c>
      <c r="G18" s="0" t="inlineStr">
        <is>
          <t xml:space="preserve"/>
        </is>
      </c>
    </row>
    <row r="19">
      <c r="A19" s="0">
        <v>18</v>
      </c>
      <c r="B19" s="0" t="inlineStr">
        <is>
          <t xml:space="preserve">Pixabay</t>
        </is>
      </c>
      <c r="C19" s="0" t="inlineStr">
        <is>
          <t xml:space="preserve">Window, rain, city sky</t>
        </is>
      </c>
      <c r="D19" s="0" t="inlineStr">
        <is>
          <t xml:space="preserve">Indoor looking out</t>
        </is>
      </c>
      <c r="E19" s="3" t="str">
        <f>HYPERLINK("https://pixabay.com/videos/window-clouds-rain-roses-sky-city-12380/","https://pixabay.com/videos/window-clouds-rain-roses-sky-city-12380/")</f>
      </c>
      <c r="F19" s="0" t="inlineStr">
        <is>
          <t xml:space="preserve">Indoor reference (window to sky)</t>
        </is>
      </c>
      <c r="G19" s="0" t="inlineStr">
        <is>
          <t xml:space="preserve"/>
        </is>
      </c>
    </row>
  </sheetData>
  <autoFilter ref="A1:G19"/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tabSelected="0" workbookViewId="0">
      <pane ySplit="1" topLeftCell="A2" activePane="bottomLeft" state="frozen"/>
    </sheetView>
  </sheetViews>
  <cols>
    <col min="1" max="1" width="24" customWidth="1"/>
    <col min="2" max="2" width="40" customWidth="1"/>
    <col min="3" max="3" width="70" customWidth="1"/>
    <col min="4" max="4" width="14" customWidth="1"/>
    <col min="5" max="5" width="36" customWidth="1"/>
  </cols>
  <sheetData>
    <row r="1">
      <c r="A1" s="1" t="inlineStr">
        <is>
          <t xml:space="preserve">What you want</t>
        </is>
      </c>
      <c r="B1" s="1" t="inlineStr">
        <is>
          <t xml:space="preserve">Search terms</t>
        </is>
      </c>
      <c r="C1" s="1" t="inlineStr">
        <is>
          <t xml:space="preserve">Link</t>
        </is>
      </c>
      <c r="D1" s="1" t="inlineStr">
        <is>
          <t xml:space="preserve">Approx. size</t>
        </is>
      </c>
      <c r="E1" s="1" t="inlineStr">
        <is>
          <t xml:space="preserve">Notes</t>
        </is>
      </c>
    </row>
    <row r="2">
      <c r="A2" s="0" t="inlineStr">
        <is>
          <t xml:space="preserve">More empty sky</t>
        </is>
      </c>
      <c r="B2" s="0" t="inlineStr">
        <is>
          <t xml:space="preserve">blue sky, clouds timelapse, clear sky</t>
        </is>
      </c>
      <c r="C2" s="3" t="str">
        <f>HYPERLINK("https://mixkit.co/free-stock-video/blue-sky/","https://mixkit.co/free-stock-video/blue-sky/")</f>
      </c>
      <c r="D2" s="0" t="inlineStr">
        <is>
          <t xml:space="preserve">~489</t>
        </is>
      </c>
      <c r="E2" s="0" t="inlineStr">
        <is>
          <t xml:space="preserve">Skip any bird / eagle / flock</t>
        </is>
      </c>
    </row>
    <row r="3">
      <c r="A3" s="0" t="inlineStr">
        <is>
          <t xml:space="preserve">More clouds</t>
        </is>
      </c>
      <c r="B3" s="0" t="inlineStr">
        <is>
          <t xml:space="preserve">cloud, cloudy</t>
        </is>
      </c>
      <c r="C3" s="3" t="str">
        <f>HYPERLINK("https://mixkit.co/free-stock-video/cloud/","https://mixkit.co/free-stock-video/cloud/")</f>
      </c>
      <c r="D3" s="0" t="inlineStr">
        <is>
          <t xml:space="preserve">~1561</t>
        </is>
      </c>
      <c r="E3" s="0" t="inlineStr">
        <is>
          <t xml:space="preserve">Skip any bird / eagle / flock</t>
        </is>
      </c>
    </row>
    <row r="4">
      <c r="A4" s="0" t="inlineStr">
        <is>
          <t xml:space="preserve">All sky</t>
        </is>
      </c>
      <c r="B4" s="0" t="inlineStr">
        <is>
          <t xml:space="preserve">sky</t>
        </is>
      </c>
      <c r="C4" s="3" t="str">
        <f>HYPERLINK("https://mixkit.co/free-stock-video/sky/","https://mixkit.co/free-stock-video/sky/")</f>
      </c>
      <c r="D4" s="0" t="inlineStr">
        <is>
          <t xml:space="preserve">~2063</t>
        </is>
      </c>
      <c r="E4" s="0" t="inlineStr">
        <is>
          <t xml:space="preserve">Skip eagle / flock / bird</t>
        </is>
      </c>
    </row>
    <row r="5">
      <c r="A5" s="0" t="inlineStr">
        <is>
          <t xml:space="preserve">More clouds</t>
        </is>
      </c>
      <c r="B5" s="0" t="inlineStr">
        <is>
          <t xml:space="preserve">clouds</t>
        </is>
      </c>
      <c r="C5" s="3" t="str">
        <f>HYPERLINK("https://mixkit.co/free-stock-video/clouds/","https://mixkit.co/free-stock-video/clouds/")</f>
      </c>
      <c r="D5" s="0" t="inlineStr">
        <is>
          <t xml:space="preserve">—</t>
        </is>
      </c>
      <c r="E5" s="0" t="inlineStr">
        <is>
          <t xml:space="preserve">Skip any bird / eagle / flock</t>
        </is>
      </c>
    </row>
    <row r="6">
      <c r="A6" s="0" t="inlineStr">
        <is>
          <t xml:space="preserve">Coverr sky</t>
        </is>
      </c>
      <c r="B6" s="0" t="inlineStr">
        <is>
          <t xml:space="preserve">sky</t>
        </is>
      </c>
      <c r="C6" s="3" t="str">
        <f>HYPERLINK("https://coverr.co/stock-video-footage/sky","https://coverr.co/stock-video-footage/sky")</f>
      </c>
      <c r="D6" s="0" t="inlineStr">
        <is>
          <t xml:space="preserve">—</t>
        </is>
      </c>
      <c r="E6" s="0" t="inlineStr">
        <is>
          <t xml:space="preserve">Royalty-free; mix of real and AI</t>
        </is>
      </c>
    </row>
    <row r="7">
      <c r="A7" s="0" t="inlineStr">
        <is>
          <t xml:space="preserve">Coverr blue sky</t>
        </is>
      </c>
      <c r="B7" s="0" t="inlineStr">
        <is>
          <t xml:space="preserve">blue sky</t>
        </is>
      </c>
      <c r="C7" s="3" t="str">
        <f>HYPERLINK("https://coverr.co/stock-video-footage/blue-sky","https://coverr.co/stock-video-footage/blue-sky")</f>
      </c>
      <c r="D7" s="0" t="inlineStr">
        <is>
          <t xml:space="preserve">—</t>
        </is>
      </c>
      <c r="E7" s="0" t="inlineStr">
        <is>
          <t xml:space="preserve">Royalty-free; mix of real and AI</t>
        </is>
      </c>
    </row>
    <row r="8">
      <c r="A8" s="0" t="inlineStr">
        <is>
          <t xml:space="preserve">Pexels sky</t>
        </is>
      </c>
      <c r="B8" s="0" t="inlineStr">
        <is>
          <t xml:space="preserve">blue sky</t>
        </is>
      </c>
      <c r="C8" s="3" t="str">
        <f>HYPERLINK("https://www.pexels.com/search/videos/blue%20sky/","https://www.pexels.com/search/videos/blue%20sky/")</f>
      </c>
      <c r="D8" s="0" t="inlineStr">
        <is>
          <t xml:space="preserve">—</t>
        </is>
      </c>
      <c r="E8" s="0" t="inlineStr">
        <is>
          <t xml:space="preserve">Free to use</t>
        </is>
      </c>
    </row>
    <row r="9">
      <c r="A9" s="0" t="inlineStr">
        <is>
          <t xml:space="preserve">Pexels clouds</t>
        </is>
      </c>
      <c r="B9" s="0" t="inlineStr">
        <is>
          <t xml:space="preserve">clouds timelapse</t>
        </is>
      </c>
      <c r="C9" s="3" t="str">
        <f>HYPERLINK("https://www.pexels.com/search/videos/clouds%20timelapse/","https://www.pexels.com/search/videos/clouds%20timelapse/")</f>
      </c>
      <c r="D9" s="0" t="inlineStr">
        <is>
          <t xml:space="preserve">—</t>
        </is>
      </c>
      <c r="E9" s="0" t="inlineStr">
        <is>
          <t xml:space="preserve">Free to use</t>
        </is>
      </c>
    </row>
    <row r="10">
      <c r="A10" s="0" t="inlineStr">
        <is>
          <t xml:space="preserve">Pixabay sky</t>
        </is>
      </c>
      <c r="B10" s="0" t="inlineStr">
        <is>
          <t xml:space="preserve">blue sky clouds</t>
        </is>
      </c>
      <c r="C10" s="3" t="str">
        <f>HYPERLINK("https://pixabay.com/videos/search/blue%20sky%20clouds/","https://pixabay.com/videos/search/blue%20sky%20clouds/")</f>
      </c>
      <c r="D10" s="0" t="inlineStr">
        <is>
          <t xml:space="preserve">—</t>
        </is>
      </c>
      <c r="E10" s="0" t="inlineStr">
        <is>
          <t xml:space="preserve">Pixabay Content License</t>
        </is>
      </c>
    </row>
    <row r="11">
      <c r="A11" s="0" t="inlineStr">
        <is>
          <t xml:space="preserve">Pixabay sky</t>
        </is>
      </c>
      <c r="B11" s="0" t="inlineStr">
        <is>
          <t xml:space="preserve">sky timelapse</t>
        </is>
      </c>
      <c r="C11" s="3" t="str">
        <f>HYPERLINK("https://pixabay.com/videos/search/sky%20timelapse/","https://pixabay.com/videos/search/sky%20timelapse/")</f>
      </c>
      <c r="D11" s="0" t="inlineStr">
        <is>
          <t xml:space="preserve">—</t>
        </is>
      </c>
      <c r="E11" s="0" t="inlineStr">
        <is>
          <t xml:space="preserve">Pixabay Content License</t>
        </is>
      </c>
    </row>
    <row r="12">
      <c r="A12" s="0" t="inlineStr">
        <is>
          <t xml:space="preserve">Living rooms</t>
        </is>
      </c>
      <c r="B12" s="0" t="inlineStr">
        <is>
          <t xml:space="preserve">living room</t>
        </is>
      </c>
      <c r="C12" s="3" t="str">
        <f>HYPERLINK("https://mixkit.co/free-stock-video/living-room/","https://mixkit.co/free-stock-video/living-room/")</f>
      </c>
      <c r="D12" s="0" t="inlineStr">
        <is>
          <t xml:space="preserve">~310</t>
        </is>
      </c>
      <c r="E12" s="0" t="inlineStr">
        <is>
          <t xml:space="preserve">Skip clips of people on the sofa</t>
        </is>
      </c>
    </row>
    <row r="13">
      <c r="A13" s="0" t="inlineStr">
        <is>
          <t xml:space="preserve">Hotel / bedroom</t>
        </is>
      </c>
      <c r="B13" s="0" t="inlineStr">
        <is>
          <t xml:space="preserve">hotel room</t>
        </is>
      </c>
      <c r="C13" s="3" t="str">
        <f>HYPERLINK("https://mixkit.co/free-stock-video/hotel-room/","https://mixkit.co/free-stock-video/hotel-room/")</f>
      </c>
      <c r="D13" s="0" t="inlineStr">
        <is>
          <t xml:space="preserve">—</t>
        </is>
      </c>
      <c r="E13" s="0" t="inlineStr">
        <is>
          <t xml:space="preserve">Prefer empty rooms with windows</t>
        </is>
      </c>
    </row>
    <row r="14">
      <c r="A14" s="0" t="inlineStr">
        <is>
          <t xml:space="preserve">Interiors</t>
        </is>
      </c>
      <c r="B14" s="0" t="inlineStr">
        <is>
          <t xml:space="preserve">interior</t>
        </is>
      </c>
      <c r="C14" s="3" t="str">
        <f>HYPERLINK("https://mixkit.co/free-stock-video/interior/","https://mixkit.co/free-stock-video/interior/")</f>
      </c>
      <c r="D14" s="0" t="inlineStr">
        <is>
          <t xml:space="preserve">~125</t>
        </is>
      </c>
      <c r="E14" s="0" t="inlineStr">
        <is>
          <t xml:space="preserve">Prefer empty rooms with windows</t>
        </is>
      </c>
    </row>
    <row r="15">
      <c r="A15" s="0" t="inlineStr">
        <is>
          <t xml:space="preserve">Any room</t>
        </is>
      </c>
      <c r="B15" s="0" t="inlineStr">
        <is>
          <t xml:space="preserve">room</t>
        </is>
      </c>
      <c r="C15" s="3" t="str">
        <f>HYPERLINK("https://mixkit.co/free-stock-video/room/","https://mixkit.co/free-stock-video/room/")</f>
      </c>
      <c r="D15" s="0" t="inlineStr">
        <is>
          <t xml:space="preserve">~1086</t>
        </is>
      </c>
      <c r="E15" s="0" t="inlineStr">
        <is>
          <t xml:space="preserve">Skip people-heavy clips</t>
        </is>
      </c>
    </row>
    <row r="16">
      <c r="A16" s="0" t="inlineStr">
        <is>
          <t xml:space="preserve">Minimal rooms</t>
        </is>
      </c>
      <c r="B16" s="0" t="inlineStr">
        <is>
          <t xml:space="preserve">minimalist</t>
        </is>
      </c>
      <c r="C16" s="3" t="str">
        <f>HYPERLINK("https://mixkit.co/free-stock-video/minimalist/","https://mixkit.co/free-stock-video/minimalist/")</f>
      </c>
      <c r="D16" s="0" t="inlineStr">
        <is>
          <t xml:space="preserve">~107</t>
        </is>
      </c>
      <c r="E16" s="0" t="inlineStr">
        <is>
          <t xml:space="preserve">Good empty-room candidates</t>
        </is>
      </c>
    </row>
    <row r="17">
      <c r="A17" s="0" t="inlineStr">
        <is>
          <t xml:space="preserve">Window shots</t>
        </is>
      </c>
      <c r="B17" s="0" t="inlineStr">
        <is>
          <t xml:space="preserve">window</t>
        </is>
      </c>
      <c r="C17" s="3" t="str">
        <f>HYPERLINK("https://mixkit.co/free-stock-video/window/","https://mixkit.co/free-stock-video/window/")</f>
      </c>
      <c r="D17" s="0" t="inlineStr">
        <is>
          <t xml:space="preserve">—</t>
        </is>
      </c>
      <c r="E17" s="0" t="inlineStr">
        <is>
          <t xml:space="preserve">Window teaches inside vs outside</t>
        </is>
      </c>
    </row>
    <row r="18">
      <c r="A18" s="0" t="inlineStr">
        <is>
          <t xml:space="preserve">Empty rooms</t>
        </is>
      </c>
      <c r="B18" s="0" t="inlineStr">
        <is>
          <t xml:space="preserve">empty room</t>
        </is>
      </c>
      <c r="C18" s="3" t="str">
        <f>HYPERLINK("https://coverr.co/stock-video-footage/empty-room","https://coverr.co/stock-video-footage/empty-room")</f>
      </c>
      <c r="D18" s="0" t="inlineStr">
        <is>
          <t xml:space="preserve">—</t>
        </is>
      </c>
      <c r="E18" s="0" t="inlineStr">
        <is>
          <t xml:space="preserve">Royalty-free</t>
        </is>
      </c>
    </row>
    <row r="19">
      <c r="A19" s="0" t="inlineStr">
        <is>
          <t xml:space="preserve">Empty living room</t>
        </is>
      </c>
      <c r="B19" s="0" t="inlineStr">
        <is>
          <t xml:space="preserve">empty living room</t>
        </is>
      </c>
      <c r="C19" s="3" t="str">
        <f>HYPERLINK("https://www.pexels.com/search/videos/empty%20living%20room/","https://www.pexels.com/search/videos/empty%20living%20room/")</f>
      </c>
      <c r="D19" s="0" t="inlineStr">
        <is>
          <t xml:space="preserve">—</t>
        </is>
      </c>
      <c r="E19" s="0" t="inlineStr">
        <is>
          <t xml:space="preserve">Best indoor references</t>
        </is>
      </c>
    </row>
    <row r="20">
      <c r="A20" s="0" t="inlineStr">
        <is>
          <t xml:space="preserve">Empty bedroom</t>
        </is>
      </c>
      <c r="B20" s="0" t="inlineStr">
        <is>
          <t xml:space="preserve">empty bedroom</t>
        </is>
      </c>
      <c r="C20" s="3" t="str">
        <f>HYPERLINK("https://www.pexels.com/search/videos/empty%20bedroom/","https://www.pexels.com/search/videos/empty%20bedroom/")</f>
      </c>
      <c r="D20" s="0" t="inlineStr">
        <is>
          <t xml:space="preserve">—</t>
        </is>
      </c>
      <c r="E20" s="0" t="inlineStr">
        <is>
          <t xml:space="preserve">Indoor variety</t>
        </is>
      </c>
    </row>
    <row r="21">
      <c r="A21" s="0" t="inlineStr">
        <is>
          <t xml:space="preserve">Room + window</t>
        </is>
      </c>
      <c r="B21" s="0" t="inlineStr">
        <is>
          <t xml:space="preserve">living room window</t>
        </is>
      </c>
      <c r="C21" s="3" t="str">
        <f>HYPERLINK("https://www.pexels.com/search/videos/living%20room%20window/","https://www.pexels.com/search/videos/living%20room%20window/")</f>
      </c>
      <c r="D21" s="0" t="inlineStr">
        <is>
          <t xml:space="preserve">—</t>
        </is>
      </c>
      <c r="E21" s="0" t="inlineStr">
        <is>
          <t xml:space="preserve">Window = bird is inside the house</t>
        </is>
      </c>
    </row>
    <row r="22">
      <c r="A22" s="0" t="inlineStr">
        <is>
          <t xml:space="preserve">Kitchen</t>
        </is>
      </c>
      <c r="B22" s="0" t="inlineStr">
        <is>
          <t xml:space="preserve">kitchen interior</t>
        </is>
      </c>
      <c r="C22" s="3" t="str">
        <f>HYPERLINK("https://www.pexels.com/search/videos/kitchen%20interior/","https://www.pexels.com/search/videos/kitchen%20interior/")</f>
      </c>
      <c r="D22" s="0" t="inlineStr">
        <is>
          <t xml:space="preserve">—</t>
        </is>
      </c>
      <c r="E22" s="0" t="inlineStr">
        <is>
          <t xml:space="preserve">Indoor variety</t>
        </is>
      </c>
    </row>
    <row r="23">
      <c r="A23" s="0" t="inlineStr">
        <is>
          <t xml:space="preserve">Pixabay living room</t>
        </is>
      </c>
      <c r="B23" s="0" t="inlineStr">
        <is>
          <t xml:space="preserve">empty living room</t>
        </is>
      </c>
      <c r="C23" s="3" t="str">
        <f>HYPERLINK("https://pixabay.com/videos/search/empty%20living%20room/","https://pixabay.com/videos/search/empty%20living%20room/")</f>
      </c>
      <c r="D23" s="0" t="inlineStr">
        <is>
          <t xml:space="preserve">—</t>
        </is>
      </c>
      <c r="E23" s="0" t="inlineStr">
        <is>
          <t xml:space="preserve">Skip people</t>
        </is>
      </c>
    </row>
    <row r="24">
      <c r="A24" s="0" t="inlineStr">
        <is>
          <t xml:space="preserve">Pixabay living room</t>
        </is>
      </c>
      <c r="B24" s="0" t="inlineStr">
        <is>
          <t xml:space="preserve">elegant living room design</t>
        </is>
      </c>
      <c r="C24" s="3" t="str">
        <f>HYPERLINK("https://pixabay.com/videos/search/elegant%20living%20room%20design/","https://pixabay.com/videos/search/elegant%20living%20room%20design/")</f>
      </c>
      <c r="D24" s="0" t="inlineStr">
        <is>
          <t xml:space="preserve">—</t>
        </is>
      </c>
      <c r="E24" s="0" t="inlineStr">
        <is>
          <t xml:space="preserve">Skip people</t>
        </is>
      </c>
    </row>
    <row r="25">
      <c r="A25" s="0" t="inlineStr">
        <is>
          <t xml:space="preserve">Pixabay kitchen</t>
        </is>
      </c>
      <c r="B25" s="0" t="inlineStr">
        <is>
          <t xml:space="preserve">modern kitchen interior</t>
        </is>
      </c>
      <c r="C25" s="3" t="str">
        <f>HYPERLINK("https://pixabay.com/videos/search/modern%20kitchen%20interior/","https://pixabay.com/videos/search/modern%20kitchen%20interior/")</f>
      </c>
      <c r="D25" s="0" t="inlineStr">
        <is>
          <t xml:space="preserve">—</t>
        </is>
      </c>
      <c r="E25" s="0" t="inlineStr">
        <is>
          <t xml:space="preserve">Indoor variety</t>
        </is>
      </c>
    </row>
    <row r="26">
      <c r="A26" s="0" t="inlineStr">
        <is>
          <t xml:space="preserve">Pixabay bedroom</t>
        </is>
      </c>
      <c r="B26" s="0" t="inlineStr">
        <is>
          <t xml:space="preserve">bedroom interior</t>
        </is>
      </c>
      <c r="C26" s="3" t="str">
        <f>HYPERLINK("https://pixabay.com/videos/search/bedroom%20interior/","https://pixabay.com/videos/search/bedroom%20interior/")</f>
      </c>
      <c r="D26" s="0" t="inlineStr">
        <is>
          <t xml:space="preserve">—</t>
        </is>
      </c>
      <c r="E26" s="0" t="inlineStr">
        <is>
          <t xml:space="preserve">Indoor variety</t>
        </is>
      </c>
    </row>
  </sheetData>
  <autoFilter ref="A1:E26"/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tabSelected="0" workbookViewId="0">
      <pane ySplit="1" topLeftCell="A2" activePane="bottomLeft" state="frozen"/>
    </sheetView>
  </sheetViews>
  <cols>
    <col min="1" max="1" width="18" customWidth="1"/>
    <col min="2" max="2" width="46" customWidth="1"/>
    <col min="3" max="3" width="60" customWidth="1"/>
    <col min="4" max="4" width="36" customWidth="1"/>
  </cols>
  <sheetData>
    <row r="1">
      <c r="A1" s="1" t="inlineStr">
        <is>
          <t xml:space="preserve">Pair name</t>
        </is>
      </c>
      <c r="B1" s="1" t="inlineStr">
        <is>
          <t xml:space="preserve">Reference from</t>
        </is>
      </c>
      <c r="C1" s="1" t="inlineStr">
        <is>
          <t xml:space="preserve">Target you still need</t>
        </is>
      </c>
      <c r="D1" s="1" t="inlineStr">
        <is>
          <t xml:space="preserve">Teaches</t>
        </is>
      </c>
    </row>
    <row r="2">
      <c r="A2" s="0" t="inlineStr">
        <is>
          <t xml:space="preserve">Sky bird</t>
        </is>
      </c>
      <c r="B2" s="0" t="inlineStr">
        <is>
          <t xml:space="preserve">Empty Sky Clips tab</t>
        </is>
      </c>
      <c r="C2" s="0" t="inlineStr">
        <is>
          <t xml:space="preserve">Same sky WITH bird flying</t>
        </is>
      </c>
      <c r="D2" s="0" t="inlineStr">
        <is>
          <t xml:space="preserve">Bird outdoors</t>
        </is>
      </c>
    </row>
    <row r="3">
      <c r="A3" s="0" t="inlineStr">
        <is>
          <t xml:space="preserve">House bird</t>
        </is>
      </c>
      <c r="B3" s="0" t="inlineStr">
        <is>
          <t xml:space="preserve">House Rooms tab (window rooms first)</t>
        </is>
      </c>
      <c r="C3" s="0" t="inlineStr">
        <is>
          <t xml:space="preserve">SAME room WITH bird on furniture / flying inside</t>
        </is>
      </c>
      <c r="D3" s="0" t="inlineStr">
        <is>
          <t xml:space="preserve">Bird IN the house, not outside</t>
        </is>
      </c>
    </row>
  </sheetData>
  <autoFilter ref="A1:D3"/>
  <pageMargins left="0.5" right="0.5" top="0.5" bottom="0.5" header="0.3" footer="0.3"/>
</worksheet>
</file>