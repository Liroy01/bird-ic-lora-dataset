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2"/>
    <sheet name="How to collect" sheetId="2" r:id="rId3"/>
    <sheet name="Pairing rules" sheetId="3" r:id="rId4"/>
    <sheet name="Empty Sky Clips" sheetId="4" r:id="rId5"/>
    <sheet name="House Rooms" sheetId="5" r:id="rId6"/>
    <sheet name="Bird videos (sky / flying)" sheetId="6" r:id="rId7"/>
    <sheet name="Bird videos (parrot / cage)" sheetId="7" r:id="rId8"/>
    <sheet name="Browse more" sheetId="8" r:id="rId9"/>
    <sheet name="Training pairs" sheetId="9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numFmtId="0" fontId="0" fillId="0" borderId="0" xfId="0" applyAlignment="1">
      <alignment wrapText="1" vertical="center"/>
    </xf>
    <xf numFmtId="0" fontId="1" fillId="2" borderId="0" xfId="0" applyFont="1" applyFill="1" applyAlignment="1">
      <alignment wrapText="1"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</cols>
  <sheetData>
    <row r="1">
      <c r="A1" s="1" t="inlineStr">
        <is>
          <t xml:space="preserve">Bird IC-LoRA dataset</t>
        </is>
      </c>
      <c r="B1" s="1" t="inlineStr">
        <is>
          <t xml:space="preserve"/>
        </is>
      </c>
    </row>
    <row r="2">
      <c r="A2" s="0" t="inlineStr">
        <is>
          <t xml:space="preserve">Updated</t>
        </is>
      </c>
      <c r="B2" s="0" t="inlineStr">
        <is>
          <t xml:space="preserve">2026-08-26</t>
        </is>
      </c>
    </row>
    <row r="3">
      <c r="A3" s="0" t="inlineStr">
        <is>
          <t xml:space="preserve">Open the HTML page for clickable links.</t>
        </is>
      </c>
      <c r="B3" s="0" t="inlineStr">
        <is>
          <t xml:space="preserve"/>
        </is>
      </c>
    </row>
  </sheetData>
  <autoFilter ref="A1:B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s="1" t="inlineStr">
        <is>
          <t xml:space="preserve">Role</t>
        </is>
      </c>
      <c r="B1" s="1" t="inlineStr">
        <is>
          <t xml:space="preserve">Scene</t>
        </is>
      </c>
      <c r="C1" s="1" t="inlineStr">
        <is>
          <t xml:space="preserve">What is in the clip</t>
        </is>
      </c>
      <c r="D1" s="1" t="inlineStr">
        <is>
          <t xml:space="preserve">What is NOT in the clip</t>
        </is>
      </c>
      <c r="E1" s="1" t="inlineStr">
        <is>
          <t xml:space="preserve">Why</t>
        </is>
      </c>
    </row>
    <row r="2">
      <c r="A2" s="0" t="inlineStr">
        <is>
          <t xml:space="preserve">Reference</t>
        </is>
      </c>
      <c r="B2" s="0" t="inlineStr">
        <is>
          <t xml:space="preserve">Outdoor</t>
        </is>
      </c>
      <c r="C2" s="0" t="inlineStr">
        <is>
          <t xml:space="preserve">Empty sky (clear, cloudy, sunset, overcast)</t>
        </is>
      </c>
      <c r="D2" s="0" t="inlineStr">
        <is>
          <t xml:space="preserve">Birds, planes, text, people</t>
        </is>
      </c>
      <c r="E2" s="0" t="inlineStr">
        <is>
          <t xml:space="preserve">Before state for sky birds</t>
        </is>
      </c>
    </row>
    <row r="3">
      <c r="A3" s="0" t="inlineStr">
        <is>
          <t xml:space="preserve">Target</t>
        </is>
      </c>
      <c r="B3" s="0" t="inlineStr">
        <is>
          <t xml:space="preserve">Outdoor</t>
        </is>
      </c>
      <c r="C3" s="0" t="inlineStr">
        <is>
          <t xml:space="preserve">Same kind of sky WITH the bird flying / gliding</t>
        </is>
      </c>
      <c r="D3" s="0" t="inlineStr">
        <is>
          <t xml:space="preserve">Extra animals, logos</t>
        </is>
      </c>
      <c r="E3" s="0" t="inlineStr">
        <is>
          <t xml:space="preserve">After state for sky birds</t>
        </is>
      </c>
    </row>
    <row r="4">
      <c r="A4" s="0" t="inlineStr">
        <is>
          <t xml:space="preserve">Reference</t>
        </is>
      </c>
      <c r="B4" s="0" t="inlineStr">
        <is>
          <t xml:space="preserve">Indoor</t>
        </is>
      </c>
      <c r="C4" s="0" t="inlineStr">
        <is>
          <t xml:space="preserve">Empty or almost-empty house room, ideally with a window</t>
        </is>
      </c>
      <c r="D4" s="0" t="inlineStr">
        <is>
          <t xml:space="preserve">People, pets, birds</t>
        </is>
      </c>
      <c r="E4" s="0" t="inlineStr">
        <is>
          <t xml:space="preserve">Before state for indoor birds</t>
        </is>
      </c>
    </row>
    <row r="5">
      <c r="A5" s="0" t="inlineStr">
        <is>
          <t xml:space="preserve">Target</t>
        </is>
      </c>
      <c r="B5" s="0" t="inlineStr">
        <is>
          <t xml:space="preserve">Indoor</t>
        </is>
      </c>
      <c r="C5" s="0" t="inlineStr">
        <is>
          <t xml:space="preserve">Same room WITH the bird on sofa, lamp, sill, or flying across</t>
        </is>
      </c>
      <c r="D5" s="0" t="inlineStr">
        <is>
          <t xml:space="preserve">People, other animals</t>
        </is>
      </c>
      <c r="E5" s="0" t="inlineStr">
        <is>
          <t xml:space="preserve">After state so the bird is IN the house, not outside</t>
        </is>
      </c>
    </row>
    <row r="6">
      <c r="A6" s="0" t="inlineStr">
        <is>
          <t xml:space="preserve">Extra variety</t>
        </is>
      </c>
      <c r="B6" s="0" t="inlineStr">
        <is>
          <t xml:space="preserve">Both</t>
        </is>
      </c>
      <c r="C6" s="0" t="inlineStr">
        <is>
          <t xml:space="preserve">Living room, bedroom, kitchen, hallway; day and night</t>
        </is>
      </c>
      <c r="D6" s="0" t="inlineStr">
        <is>
          <t xml:space="preserve">Watermarks, heavy camera shake</t>
        </is>
      </c>
      <c r="E6" s="0" t="inlineStr">
        <is>
          <t xml:space="preserve">Stops the LoRA from only working on one room / one sky</t>
        </is>
      </c>
    </row>
  </sheetData>
  <autoFilter ref="A1:E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</cols>
  <sheetData>
    <row r="1">
      <c r="A1" s="1" t="inlineStr">
        <is>
          <t xml:space="preserve">Rule</t>
        </is>
      </c>
      <c r="B1" s="1" t="inlineStr">
        <is>
          <t xml:space="preserve">Detail</t>
        </is>
      </c>
    </row>
    <row r="2">
      <c r="A2" s="0" t="inlineStr">
        <is>
          <t xml:space="preserve">Pairing</t>
        </is>
      </c>
      <c r="B2" s="0" t="inlineStr">
        <is>
          <t xml:space="preserve">Each reference clip has a matching target clip (empty scene -&gt; scene with bird)</t>
        </is>
      </c>
    </row>
    <row r="3">
      <c r="A3" s="0" t="inlineStr">
        <is>
          <t xml:space="preserve">Match</t>
        </is>
      </c>
      <c r="B3" s="0" t="inlineStr">
        <is>
          <t xml:space="preserve">Reference and target must have the same length and resolution</t>
        </is>
      </c>
    </row>
    <row r="4">
      <c r="A4" s="0" t="inlineStr">
        <is>
          <t xml:space="preserve">Split domains</t>
        </is>
      </c>
      <c r="B4" s="0" t="inlineStr">
        <is>
          <t xml:space="preserve">Keep indoor pairs and outdoor pairs SEPARATE</t>
        </is>
      </c>
    </row>
    <row r="5">
      <c r="A5" s="0" t="inlineStr">
        <is>
          <t xml:space="preserve">Skip</t>
        </is>
      </c>
      <c r="B5" s="0" t="inlineStr">
        <is>
          <t xml:space="preserve">People, text, watermarks, other animals (unless that is the bird you want)</t>
        </is>
      </c>
    </row>
    <row r="6">
      <c r="A6" s="0" t="inlineStr">
        <is>
          <t xml:space="preserve">Camera</t>
        </is>
      </c>
      <c r="B6" s="0" t="inlineStr">
        <is>
          <t xml:space="preserve">Prefer locked-off shots or slow pans</t>
        </is>
      </c>
    </row>
    <row r="7">
      <c r="A7" s="0" t="inlineStr">
        <is>
          <t xml:space="preserve">Start size</t>
        </is>
      </c>
      <c r="B7" s="0" t="inlineStr">
        <is>
          <t xml:space="preserve">About 20-40 clean pairs per domain (sky, then house) beats hundreds of messy clips</t>
        </is>
      </c>
    </row>
    <row r="8">
      <c r="A8" s="0" t="inlineStr">
        <is>
          <t xml:space="preserve">Indoor targets</t>
        </is>
      </c>
      <c r="B8" s="0" t="inlineStr">
        <is>
          <t xml:space="preserve">True house-interior bird clips are rare. Use cage/pet parrot clips, film a pet bird, or composite a bird onto empty rooms</t>
        </is>
      </c>
    </row>
  </sheetData>
  <autoFilter ref="A1:B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s="1" t="inlineStr">
        <is>
          <t xml:space="preserve">#</t>
        </is>
      </c>
      <c r="B1" s="1" t="inlineStr">
        <is>
          <t xml:space="preserve">Source</t>
        </is>
      </c>
      <c r="C1" s="1" t="inlineStr">
        <is>
          <t xml:space="preserve">What it is</t>
        </is>
      </c>
      <c r="D1" s="1" t="inlineStr">
        <is>
          <t xml:space="preserve">Link</t>
        </is>
      </c>
      <c r="E1" s="1" t="inlineStr">
        <is>
          <t xml:space="preserve">Use as</t>
        </is>
      </c>
    </row>
    <row r="2">
      <c r="A2" s="0" t="inlineStr">
        <is>
          <t xml:space="preserve">1</t>
        </is>
      </c>
      <c r="B2" s="0" t="inlineStr">
        <is>
          <t xml:space="preserve">Mixkit</t>
        </is>
      </c>
      <c r="C2" s="0" t="inlineStr">
        <is>
          <t xml:space="preserve">Cloudy sky timelapse</t>
        </is>
      </c>
      <c r="D2" s="0" t="str">
        <f>HYPERLINK("https://mixkit.co/free-stock-video/time-lapse-video-of-a-cloudy-sky-284/","https://mixkit.co/free-stock-video/time-lapse-video-of-a-cloudy-sky-284/")</f>
      </c>
      <c r="E2" s="0" t="inlineStr">
        <is>
          <t xml:space="preserve">Outdoor reference (empty sky)</t>
        </is>
      </c>
    </row>
    <row r="3">
      <c r="A3" s="0" t="inlineStr">
        <is>
          <t xml:space="preserve">2</t>
        </is>
      </c>
      <c r="B3" s="0" t="inlineStr">
        <is>
          <t xml:space="preserve">Mixkit</t>
        </is>
      </c>
      <c r="C3" s="0" t="inlineStr">
        <is>
          <t xml:space="preserve">Sky timelapse, moving clouds</t>
        </is>
      </c>
      <c r="D3" s="0" t="str">
        <f>HYPERLINK("https://mixkit.co/free-stock-video/sky-time-lapse-1905/","https://mixkit.co/free-stock-video/sky-time-lapse-1905/")</f>
      </c>
      <c r="E3" s="0" t="inlineStr">
        <is>
          <t xml:space="preserve">Outdoor reference (empty sky)</t>
        </is>
      </c>
    </row>
    <row r="4">
      <c r="A4" s="0" t="inlineStr">
        <is>
          <t xml:space="preserve">3</t>
        </is>
      </c>
      <c r="B4" s="0" t="inlineStr">
        <is>
          <t xml:space="preserve">Mixkit</t>
        </is>
      </c>
      <c r="C4" s="0" t="inlineStr">
        <is>
          <t xml:space="preserve">White clouds on clear blue sky</t>
        </is>
      </c>
      <c r="D4" s="0" t="str">
        <f>HYPERLINK("https://mixkit.co/free-stock-video/white-clouds-moving-across-a-clear-blue-sky-51102/","https://mixkit.co/free-stock-video/white-clouds-moving-across-a-clear-blue-sky-51102/")</f>
      </c>
      <c r="E4" s="0" t="inlineStr">
        <is>
          <t xml:space="preserve">Outdoor reference (empty sky)</t>
        </is>
      </c>
    </row>
    <row r="5">
      <c r="A5" s="0" t="inlineStr">
        <is>
          <t xml:space="preserve">4</t>
        </is>
      </c>
      <c r="B5" s="0" t="inlineStr">
        <is>
          <t xml:space="preserve">Mixkit</t>
        </is>
      </c>
      <c r="C5" s="0" t="inlineStr">
        <is>
          <t xml:space="preserve">White clouds moving quickly</t>
        </is>
      </c>
      <c r="D5" s="0" t="str">
        <f>HYPERLINK("https://mixkit.co/free-stock-video/white-clouds-moving-across-a-clear-blue-sky-quickly-51105/","https://mixkit.co/free-stock-video/white-clouds-moving-across-a-clear-blue-sky-quickly-51105/")</f>
      </c>
      <c r="E5" s="0" t="inlineStr">
        <is>
          <t xml:space="preserve">Outdoor reference (empty sky)</t>
        </is>
      </c>
    </row>
    <row r="6">
      <c r="A6" s="0" t="inlineStr">
        <is>
          <t xml:space="preserve">5</t>
        </is>
      </c>
      <c r="B6" s="0" t="inlineStr">
        <is>
          <t xml:space="preserve">Mixkit</t>
        </is>
      </c>
      <c r="C6" s="0" t="inlineStr">
        <is>
          <t xml:space="preserve">Fluffy clouds, bright blue sky (4K)</t>
        </is>
      </c>
      <c r="D6" s="0" t="str">
        <f>HYPERLINK("https://mixkit.co/free-stock-video/fluffy-clouds-against-a-bright-blue-sky-100715/","https://mixkit.co/free-stock-video/fluffy-clouds-against-a-bright-blue-sky-100715/")</f>
      </c>
      <c r="E6" s="0" t="inlineStr">
        <is>
          <t xml:space="preserve">Outdoor reference (empty sky)</t>
        </is>
      </c>
    </row>
    <row r="7">
      <c r="A7" s="0" t="inlineStr">
        <is>
          <t xml:space="preserve">6</t>
        </is>
      </c>
      <c r="B7" s="0" t="inlineStr">
        <is>
          <t xml:space="preserve">Mixkit</t>
        </is>
      </c>
      <c r="C7" s="0" t="inlineStr">
        <is>
          <t xml:space="preserve">Fluffy clouds, open sky</t>
        </is>
      </c>
      <c r="D7" s="0" t="str">
        <f>HYPERLINK("https://mixkit.co/free-stock-video/fluffy-clouds-floating-gently-across-a-great-blue-open-sky-44967/","https://mixkit.co/free-stock-video/fluffy-clouds-floating-gently-across-a-great-blue-open-sky-44967/")</f>
      </c>
      <c r="E7" s="0" t="inlineStr">
        <is>
          <t xml:space="preserve">Outdoor reference (empty sky)</t>
        </is>
      </c>
    </row>
    <row r="8">
      <c r="A8" s="0" t="inlineStr">
        <is>
          <t xml:space="preserve">7</t>
        </is>
      </c>
      <c r="B8" s="0" t="inlineStr">
        <is>
          <t xml:space="preserve">Mixkit</t>
        </is>
      </c>
      <c r="C8" s="0" t="inlineStr">
        <is>
          <t xml:space="preserve">Blue sky, wind-blown clouds</t>
        </is>
      </c>
      <c r="D8" s="0" t="str">
        <f>HYPERLINK("https://mixkit.co/free-stock-video/blue-sky-background-as-the-clouds-travel-blown-by-the-26108/","https://mixkit.co/free-stock-video/blue-sky-background-as-the-clouds-travel-blown-by-the-26108/")</f>
      </c>
      <c r="E8" s="0" t="inlineStr">
        <is>
          <t xml:space="preserve">Outdoor reference (empty sky)</t>
        </is>
      </c>
    </row>
    <row r="9">
      <c r="A9" s="0" t="inlineStr">
        <is>
          <t xml:space="preserve">8</t>
        </is>
      </c>
      <c r="B9" s="0" t="inlineStr">
        <is>
          <t xml:space="preserve">Mixkit</t>
        </is>
      </c>
      <c r="C9" s="0" t="inlineStr">
        <is>
          <t xml:space="preserve">Sun + thin clouds timelapse</t>
        </is>
      </c>
      <c r="D9" s="0" t="str">
        <f>HYPERLINK("https://mixkit.co/free-stock-video/sky-view-with-sun-and-clouds-in-a-timelapse-50160/","https://mixkit.co/free-stock-video/sky-view-with-sun-and-clouds-in-a-timelapse-50160/")</f>
      </c>
      <c r="E9" s="0" t="inlineStr">
        <is>
          <t xml:space="preserve">Outdoor reference (empty sky)</t>
        </is>
      </c>
    </row>
    <row r="10">
      <c r="A10" s="0" t="inlineStr">
        <is>
          <t xml:space="preserve">9</t>
        </is>
      </c>
      <c r="B10" s="0" t="inlineStr">
        <is>
          <t xml:space="preserve">Mixkit</t>
        </is>
      </c>
      <c r="C10" s="0" t="inlineStr">
        <is>
          <t xml:space="preserve">Clouds moving across blue sky</t>
        </is>
      </c>
      <c r="D10" s="0" t="str">
        <f>HYPERLINK("https://mixkit.co/free-stock-video/timelapse-of-clouds-moving-across-a-blue-sky-45272/","https://mixkit.co/free-stock-video/timelapse-of-clouds-moving-across-a-blue-sky-45272/")</f>
      </c>
      <c r="E10" s="0" t="inlineStr">
        <is>
          <t xml:space="preserve">Outdoor reference (empty sky)</t>
        </is>
      </c>
    </row>
    <row r="11">
      <c r="A11" s="0" t="inlineStr">
        <is>
          <t xml:space="preserve">10</t>
        </is>
      </c>
      <c r="B11" s="0" t="inlineStr">
        <is>
          <t xml:space="preserve">Mixkit</t>
        </is>
      </c>
      <c r="C11" s="0" t="inlineStr">
        <is>
          <t xml:space="preserve">Clouds passing across the sun</t>
        </is>
      </c>
      <c r="D11" s="0" t="str">
        <f>HYPERLINK("https://mixkit.co/free-stock-video/clouds-passing-across-the-sun-20734/","https://mixkit.co/free-stock-video/clouds-passing-across-the-sun-20734/")</f>
      </c>
      <c r="E11" s="0" t="inlineStr">
        <is>
          <t xml:space="preserve">Outdoor reference (empty sky)</t>
        </is>
      </c>
    </row>
    <row r="12">
      <c r="A12" s="0" t="inlineStr">
        <is>
          <t xml:space="preserve">11</t>
        </is>
      </c>
      <c r="B12" s="0" t="inlineStr">
        <is>
          <t xml:space="preserve">Mixkit</t>
        </is>
      </c>
      <c r="C12" s="0" t="inlineStr">
        <is>
          <t xml:space="preserve">Desert/cactus + clouds</t>
        </is>
      </c>
      <c r="D12" s="0" t="str">
        <f>HYPERLINK("https://mixkit.co/free-stock-video/clouds-travel-along-the-blue-sky-in-the-presence-of-50136/","https://mixkit.co/free-stock-video/clouds-travel-along-the-blue-sky-in-the-presence-of-50136/")</f>
      </c>
      <c r="E12" s="0" t="inlineStr">
        <is>
          <t xml:space="preserve">Outdoor reference (empty sky)</t>
        </is>
      </c>
    </row>
    <row r="13">
      <c r="A13" s="0" t="inlineStr">
        <is>
          <t xml:space="preserve">12</t>
        </is>
      </c>
      <c r="B13" s="0" t="inlineStr">
        <is>
          <t xml:space="preserve">Mixkit</t>
        </is>
      </c>
      <c r="C13" s="0" t="inlineStr">
        <is>
          <t xml:space="preserve">Sky reflecting on a building</t>
        </is>
      </c>
      <c r="D13" s="0" t="str">
        <f>HYPERLINK("https://mixkit.co/free-stock-video/time-lapse-of-sky-reflecting-on-a-building-101379/","https://mixkit.co/free-stock-video/time-lapse-of-sky-reflecting-on-a-building-101379/")</f>
      </c>
      <c r="E13" s="0" t="inlineStr">
        <is>
          <t xml:space="preserve">Outdoor reference (empty sky)</t>
        </is>
      </c>
    </row>
    <row r="14">
      <c r="A14" s="0" t="inlineStr">
        <is>
          <t xml:space="preserve">13</t>
        </is>
      </c>
      <c r="B14" s="0" t="inlineStr">
        <is>
          <t xml:space="preserve">Coverr</t>
        </is>
      </c>
      <c r="C14" s="0" t="inlineStr">
        <is>
          <t xml:space="preserve">Cloudy sky timelapse</t>
        </is>
      </c>
      <c r="D14" s="0" t="str">
        <f>HYPERLINK("https://coverr.co/videos/cloudy-sky-2v00ohjpqe","https://coverr.co/videos/cloudy-sky-2v00ohjpqe")</f>
      </c>
      <c r="E14" s="0" t="inlineStr">
        <is>
          <t xml:space="preserve">Outdoor reference (empty sky)</t>
        </is>
      </c>
    </row>
    <row r="15">
      <c r="A15" s="0" t="inlineStr">
        <is>
          <t xml:space="preserve">14</t>
        </is>
      </c>
      <c r="B15" s="0" t="inlineStr">
        <is>
          <t xml:space="preserve">Coverr</t>
        </is>
      </c>
      <c r="C15" s="0" t="inlineStr">
        <is>
          <t xml:space="preserve">Clouds moving during the day</t>
        </is>
      </c>
      <c r="D15" s="0" t="str">
        <f>HYPERLINK("https://coverr.co/videos/timelapse-of-clouds-dsal4pxnyw","https://coverr.co/videos/timelapse-of-clouds-dsal4pxnyw")</f>
      </c>
      <c r="E15" s="0" t="inlineStr">
        <is>
          <t xml:space="preserve">Outdoor reference (empty sky)</t>
        </is>
      </c>
    </row>
    <row r="16">
      <c r="A16" s="0" t="inlineStr">
        <is>
          <t xml:space="preserve">15</t>
        </is>
      </c>
      <c r="B16" s="0" t="inlineStr">
        <is>
          <t xml:space="preserve">Coverr</t>
        </is>
      </c>
      <c r="C16" s="0" t="inlineStr">
        <is>
          <t xml:space="preserve">Clouds + bright blue sky</t>
        </is>
      </c>
      <c r="D16" s="0" t="str">
        <f>HYPERLINK("https://coverr.co/videos/timelapse-of-the-clouds-oj4mcuuvzl","https://coverr.co/videos/timelapse-of-the-clouds-oj4mcuuvzl")</f>
      </c>
      <c r="E16" s="0" t="inlineStr">
        <is>
          <t xml:space="preserve">Outdoor reference (empty sky)</t>
        </is>
      </c>
    </row>
    <row r="17">
      <c r="A17" s="0" t="inlineStr">
        <is>
          <t xml:space="preserve">16</t>
        </is>
      </c>
      <c r="B17" s="0" t="inlineStr">
        <is>
          <t xml:space="preserve">Pexels</t>
        </is>
      </c>
      <c r="C17" s="0" t="inlineStr">
        <is>
          <t xml:space="preserve">Blue sky + clouds timelapse</t>
        </is>
      </c>
      <c r="D17" s="0" t="str">
        <f>HYPERLINK("https://www.pexels.com/video/serene-timelapse-of-blue-sky-with-clouds-29461557/","https://www.pexels.com/video/serene-timelapse-of-blue-sky-with-clouds-29461557/")</f>
      </c>
      <c r="E17" s="0" t="inlineStr">
        <is>
          <t xml:space="preserve">Outdoor reference (empty sky)</t>
        </is>
      </c>
    </row>
    <row r="18">
      <c r="A18" s="0" t="inlineStr">
        <is>
          <t xml:space="preserve">17</t>
        </is>
      </c>
      <c r="B18" s="0" t="inlineStr">
        <is>
          <t xml:space="preserve">Pexels</t>
        </is>
      </c>
      <c r="C18" s="0" t="inlineStr">
        <is>
          <t xml:space="preserve">White clouds on blue sky</t>
        </is>
      </c>
      <c r="D18" s="0" t="str">
        <f>HYPERLINK("https://www.pexels.com/video/serene-white-clouds-against-a-blue-sky-33545030/","https://www.pexels.com/video/serene-white-clouds-against-a-blue-sky-33545030/")</f>
      </c>
      <c r="E18" s="0" t="inlineStr">
        <is>
          <t xml:space="preserve">Outdoor reference (empty sky)</t>
        </is>
      </c>
    </row>
    <row r="19">
      <c r="A19" s="0" t="inlineStr">
        <is>
          <t xml:space="preserve">18</t>
        </is>
      </c>
      <c r="B19" s="0" t="inlineStr">
        <is>
          <t xml:space="preserve">Pexels</t>
        </is>
      </c>
      <c r="C19" s="0" t="inlineStr">
        <is>
          <t xml:space="preserve">Cirrus clouds over a field</t>
        </is>
      </c>
      <c r="D19" s="0" t="str">
        <f>HYPERLINK("https://www.pexels.com/video/vast-open-sky-with-cirrus-clouds-over-dry-field-32573013/","https://www.pexels.com/video/vast-open-sky-with-cirrus-clouds-over-dry-field-32573013/")</f>
      </c>
      <c r="E19" s="0" t="inlineStr">
        <is>
          <t xml:space="preserve">Outdoor reference (empty sky)</t>
        </is>
      </c>
    </row>
    <row r="20">
      <c r="A20" s="0" t="inlineStr">
        <is>
          <t xml:space="preserve">19</t>
        </is>
      </c>
      <c r="B20" s="0" t="inlineStr">
        <is>
          <t xml:space="preserve">Pexels</t>
        </is>
      </c>
      <c r="C20" s="0" t="inlineStr">
        <is>
          <t xml:space="preserve">Aerial cloudscape (check: no actual birds)</t>
        </is>
      </c>
      <c r="D20" s="0" t="str">
        <f>HYPERLINK("https://www.pexels.com/video/cloudscape-in-birds-eye-view-12278365/","https://www.pexels.com/video/cloudscape-in-birds-eye-view-12278365/")</f>
      </c>
      <c r="E20" s="0" t="inlineStr">
        <is>
          <t xml:space="preserve">Outdoor reference — verify no birds</t>
        </is>
      </c>
    </row>
  </sheetData>
  <autoFilter ref="A1:E2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</cols>
  <sheetData>
    <row r="1">
      <c r="A1" s="1" t="inlineStr">
        <is>
          <t xml:space="preserve">#</t>
        </is>
      </c>
      <c r="B1" s="1" t="inlineStr">
        <is>
          <t xml:space="preserve">Source</t>
        </is>
      </c>
      <c r="C1" s="1" t="inlineStr">
        <is>
          <t xml:space="preserve">Room type</t>
        </is>
      </c>
      <c r="D1" s="1" t="inlineStr">
        <is>
          <t xml:space="preserve">Why it helps</t>
        </is>
      </c>
      <c r="E1" s="1" t="inlineStr">
        <is>
          <t xml:space="preserve">Link</t>
        </is>
      </c>
      <c r="F1" s="1" t="inlineStr">
        <is>
          <t xml:space="preserve">Use as</t>
        </is>
      </c>
    </row>
    <row r="2">
      <c r="A2" s="0" t="inlineStr">
        <is>
          <t xml:space="preserve">1</t>
        </is>
      </c>
      <c r="B2" s="0" t="inlineStr">
        <is>
          <t xml:space="preserve">Mixkit</t>
        </is>
      </c>
      <c r="C2" s="0" t="inlineStr">
        <is>
          <t xml:space="preserve">Living room, wood furniture, windows</t>
        </is>
      </c>
      <c r="D2" s="0" t="inlineStr">
        <is>
          <t xml:space="preserve">Indoor house look</t>
        </is>
      </c>
      <c r="E2" s="0" t="str">
        <f>HYPERLINK("https://mixkit.co/free-stock-video/modern-living-room-with-wooden-furniture-3090/","https://mixkit.co/free-stock-video/modern-living-room-with-wooden-furniture-3090/")</f>
      </c>
      <c r="F2" s="0" t="inlineStr">
        <is>
          <t xml:space="preserve">Indoor reference (empty room)</t>
        </is>
      </c>
    </row>
    <row r="3">
      <c r="A3" s="0" t="inlineStr">
        <is>
          <t xml:space="preserve">2</t>
        </is>
      </c>
      <c r="B3" s="0" t="inlineStr">
        <is>
          <t xml:space="preserve">Mixkit</t>
        </is>
      </c>
      <c r="C3" s="0" t="inlineStr">
        <is>
          <t xml:space="preserve">Living room, gray sofa</t>
        </is>
      </c>
      <c r="D3" s="0" t="inlineStr">
        <is>
          <t xml:space="preserve">Perch / fly-across space</t>
        </is>
      </c>
      <c r="E3" s="0" t="str">
        <f>HYPERLINK("https://mixkit.co/free-stock-video/minimalist-room-with-gray-sofa-3110/","https://mixkit.co/free-stock-video/minimalist-room-with-gray-sofa-3110/")</f>
      </c>
      <c r="F3" s="0" t="inlineStr">
        <is>
          <t xml:space="preserve">Indoor reference (empty room)</t>
        </is>
      </c>
    </row>
    <row r="4">
      <c r="A4" s="0" t="inlineStr">
        <is>
          <t xml:space="preserve">3</t>
        </is>
      </c>
      <c r="B4" s="0" t="inlineStr">
        <is>
          <t xml:space="preserve">Mixkit</t>
        </is>
      </c>
      <c r="C4" s="0" t="inlineStr">
        <is>
          <t xml:space="preserve">Room, wooden table + windows</t>
        </is>
      </c>
      <c r="D4" s="0" t="inlineStr">
        <is>
          <t xml:space="preserve">Window = inside vs outside</t>
        </is>
      </c>
      <c r="E4" s="0" t="str">
        <f>HYPERLINK("https://mixkit.co/free-stock-video/minimalist-room-with-wooden-furniture-3091/","https://mixkit.co/free-stock-video/minimalist-room-with-wooden-furniture-3091/")</f>
      </c>
      <c r="F4" s="0" t="inlineStr">
        <is>
          <t xml:space="preserve">Indoor reference (empty room)</t>
        </is>
      </c>
    </row>
    <row r="5">
      <c r="A5" s="0" t="inlineStr">
        <is>
          <t xml:space="preserve">4</t>
        </is>
      </c>
      <c r="B5" s="0" t="inlineStr">
        <is>
          <t xml:space="preserve">Mixkit</t>
        </is>
      </c>
      <c r="C5" s="0" t="inlineStr">
        <is>
          <t xml:space="preserve">Bedroom, two beds, open window</t>
        </is>
      </c>
      <c r="D5" s="0" t="inlineStr">
        <is>
          <t xml:space="preserve">Strong in-the-house cue</t>
        </is>
      </c>
      <c r="E5" s="0" t="str">
        <f>HYPERLINK("https://mixkit.co/free-stock-video/minimalist-room-with-a-couple-of-beds-3109/","https://mixkit.co/free-stock-video/minimalist-room-with-a-couple-of-beds-3109/")</f>
      </c>
      <c r="F5" s="0" t="inlineStr">
        <is>
          <t xml:space="preserve">Indoor reference (empty room)</t>
        </is>
      </c>
    </row>
    <row r="6">
      <c r="A6" s="0" t="inlineStr">
        <is>
          <t xml:space="preserve">5</t>
        </is>
      </c>
      <c r="B6" s="0" t="inlineStr">
        <is>
          <t xml:space="preserve">Mixkit</t>
        </is>
      </c>
      <c r="C6" s="0" t="inlineStr">
        <is>
          <t xml:space="preserve">Master bedroom + window</t>
        </is>
      </c>
      <c r="D6" s="0" t="inlineStr">
        <is>
          <t xml:space="preserve">Indoor + view outside</t>
        </is>
      </c>
      <c r="E6" s="0" t="str">
        <f>HYPERLINK("https://mixkit.co/free-stock-video/master-bedroom-and-window-3111/","https://mixkit.co/free-stock-video/master-bedroom-and-window-3111/")</f>
      </c>
      <c r="F6" s="0" t="inlineStr">
        <is>
          <t xml:space="preserve">Indoor reference (empty room)</t>
        </is>
      </c>
    </row>
    <row r="7">
      <c r="A7" s="0" t="inlineStr">
        <is>
          <t xml:space="preserve">6</t>
        </is>
      </c>
      <c r="B7" s="0" t="inlineStr">
        <is>
          <t xml:space="preserve">Mixkit</t>
        </is>
      </c>
      <c r="C7" s="0" t="inlineStr">
        <is>
          <t xml:space="preserve">Kitchen</t>
        </is>
      </c>
      <c r="D7" s="0" t="inlineStr">
        <is>
          <t xml:space="preserve">Second indoor room type</t>
        </is>
      </c>
      <c r="E7" s="0" t="str">
        <f>HYPERLINK("https://mixkit.co/free-stock-video/interior-view-of-a-spacious-modern-kitchen-43033/","https://mixkit.co/free-stock-video/interior-view-of-a-spacious-modern-kitchen-43033/")</f>
      </c>
      <c r="F7" s="0" t="inlineStr">
        <is>
          <t xml:space="preserve">Indoor reference (empty room)</t>
        </is>
      </c>
    </row>
    <row r="8">
      <c r="A8" s="0" t="inlineStr">
        <is>
          <t xml:space="preserve">7</t>
        </is>
      </c>
      <c r="B8" s="0" t="inlineStr">
        <is>
          <t xml:space="preserve">Mixkit</t>
        </is>
      </c>
      <c r="C8" s="0" t="inlineStr">
        <is>
          <t xml:space="preserve">Bedroom, large window</t>
        </is>
      </c>
      <c r="D8" s="0" t="inlineStr">
        <is>
          <t xml:space="preserve">Bird can sit on sill / fly in</t>
        </is>
      </c>
      <c r="E8" s="0" t="str">
        <f>HYPERLINK("https://mixkit.co/free-stock-video/hotel-room-with-modern-minimalist-style-4488/","https://mixkit.co/free-stock-video/hotel-room-with-modern-minimalist-style-4488/")</f>
      </c>
      <c r="F8" s="0" t="inlineStr">
        <is>
          <t xml:space="preserve">Indoor reference (empty room)</t>
        </is>
      </c>
    </row>
    <row r="9">
      <c r="A9" s="0" t="inlineStr">
        <is>
          <t xml:space="preserve">8</t>
        </is>
      </c>
      <c r="B9" s="0" t="inlineStr">
        <is>
          <t xml:space="preserve">Mixkit</t>
        </is>
      </c>
      <c r="C9" s="0" t="inlineStr">
        <is>
          <t xml:space="preserve">Luxury room pan</t>
        </is>
      </c>
      <c r="D9" s="0" t="inlineStr">
        <is>
          <t xml:space="preserve">Slow camera through a room</t>
        </is>
      </c>
      <c r="E9" s="0" t="str">
        <f>HYPERLINK("https://mixkit.co/free-stock-video/luxury-hotel-room-panning-shot-4196/","https://mixkit.co/free-stock-video/luxury-hotel-room-panning-shot-4196/")</f>
      </c>
      <c r="F9" s="0" t="inlineStr">
        <is>
          <t xml:space="preserve">Indoor reference (empty room)</t>
        </is>
      </c>
    </row>
    <row r="10">
      <c r="A10" s="0" t="inlineStr">
        <is>
          <t xml:space="preserve">9</t>
        </is>
      </c>
      <c r="B10" s="0" t="inlineStr">
        <is>
          <t xml:space="preserve">Mixkit</t>
        </is>
      </c>
      <c r="C10" s="0" t="inlineStr">
        <is>
          <t xml:space="preserve">Hotel room pan, wood furniture</t>
        </is>
      </c>
      <c r="D10" s="0" t="inlineStr">
        <is>
          <t xml:space="preserve">Another indoor layout</t>
        </is>
      </c>
      <c r="E10" s="0" t="str">
        <f>HYPERLINK("https://mixkit.co/free-stock-video/pan-shot-of-the-interior-of-a-hotel-room-4198/","https://mixkit.co/free-stock-video/pan-shot-of-the-interior-of-a-hotel-room-4198/")</f>
      </c>
      <c r="F10" s="0" t="inlineStr">
        <is>
          <t xml:space="preserve">Indoor reference (empty room)</t>
        </is>
      </c>
    </row>
    <row r="11">
      <c r="A11" s="0" t="inlineStr">
        <is>
          <t xml:space="preserve">10</t>
        </is>
      </c>
      <c r="B11" s="0" t="inlineStr">
        <is>
          <t xml:space="preserve">Mixkit</t>
        </is>
      </c>
      <c r="C11" s="0" t="inlineStr">
        <is>
          <t xml:space="preserve">White boutique room</t>
        </is>
      </c>
      <c r="D11" s="0" t="inlineStr">
        <is>
          <t xml:space="preserve">Bright indoor space</t>
        </is>
      </c>
      <c r="E11" s="0" t="str">
        <f>HYPERLINK("https://mixkit.co/free-stock-video/white-luxury-boutique-hotel-room-4046/","https://mixkit.co/free-stock-video/white-luxury-boutique-hotel-room-4046/")</f>
      </c>
      <c r="F11" s="0" t="inlineStr">
        <is>
          <t xml:space="preserve">Indoor reference (empty room)</t>
        </is>
      </c>
    </row>
    <row r="12">
      <c r="A12" s="0" t="inlineStr">
        <is>
          <t xml:space="preserve">11</t>
        </is>
      </c>
      <c r="B12" s="0" t="inlineStr">
        <is>
          <t xml:space="preserve">Mixkit</t>
        </is>
      </c>
      <c r="C12" s="0" t="inlineStr">
        <is>
          <t xml:space="preserve">Classic room, bed + sofa</t>
        </is>
      </c>
      <c r="D12" s="0" t="inlineStr">
        <is>
          <t xml:space="preserve">Living/sleep mix</t>
        </is>
      </c>
      <c r="E12" s="0" t="str">
        <f>HYPERLINK("https://mixkit.co/free-stock-video/hotel-room-with-breakfast-served-4019/","https://mixkit.co/free-stock-video/hotel-room-with-breakfast-served-4019/")</f>
      </c>
      <c r="F12" s="0" t="inlineStr">
        <is>
          <t xml:space="preserve">Indoor reference (empty room)</t>
        </is>
      </c>
    </row>
    <row r="13">
      <c r="A13" s="0" t="inlineStr">
        <is>
          <t xml:space="preserve">12</t>
        </is>
      </c>
      <c r="B13" s="0" t="inlineStr">
        <is>
          <t xml:space="preserve">Mixkit</t>
        </is>
      </c>
      <c r="C13" s="0" t="inlineStr">
        <is>
          <t xml:space="preserve">Decorated room + terrace</t>
        </is>
      </c>
      <c r="D13" s="0" t="inlineStr">
        <is>
          <t xml:space="preserve">Indoor, then opening out</t>
        </is>
      </c>
      <c r="E13" s="0" t="str">
        <f>HYPERLINK("https://mixkit.co/free-stock-video/beautifully-decorated-hotel-room-4030/","https://mixkit.co/free-stock-video/beautifully-decorated-hotel-room-4030/")</f>
      </c>
      <c r="F13" s="0" t="inlineStr">
        <is>
          <t xml:space="preserve">Indoor reference (empty room)</t>
        </is>
      </c>
    </row>
    <row r="14">
      <c r="A14" s="0" t="inlineStr">
        <is>
          <t xml:space="preserve">13</t>
        </is>
      </c>
      <c r="B14" s="0" t="inlineStr">
        <is>
          <t xml:space="preserve">Mixkit</t>
        </is>
      </c>
      <c r="C14" s="0" t="inlineStr">
        <is>
          <t xml:space="preserve">Vintage living room</t>
        </is>
      </c>
      <c r="D14" s="0" t="inlineStr">
        <is>
          <t xml:space="preserve">Different furniture style</t>
        </is>
      </c>
      <c r="E14" s="0" t="str">
        <f>HYPERLINK("https://mixkit.co/free-stock-video/vintage-living-room-setup-100891/","https://mixkit.co/free-stock-video/vintage-living-room-setup-100891/")</f>
      </c>
      <c r="F14" s="0" t="inlineStr">
        <is>
          <t xml:space="preserve">Indoor reference (empty room)</t>
        </is>
      </c>
    </row>
    <row r="15">
      <c r="A15" s="0" t="inlineStr">
        <is>
          <t xml:space="preserve">14</t>
        </is>
      </c>
      <c r="B15" s="0" t="inlineStr">
        <is>
          <t xml:space="preserve">Coverr</t>
        </is>
      </c>
      <c r="C15" s="0" t="inlineStr">
        <is>
          <t xml:space="preserve">Home interior + garden view</t>
        </is>
      </c>
      <c r="D15" s="0" t="inlineStr">
        <is>
          <t xml:space="preserve">Window to outside</t>
        </is>
      </c>
      <c r="E15" s="0" t="str">
        <f>HYPERLINK("https://coverr.co/videos/contemporary-home-interior-with-scenic-view","https://coverr.co/videos/contemporary-home-interior-with-scenic-view")</f>
      </c>
      <c r="F15" s="0" t="inlineStr">
        <is>
          <t xml:space="preserve">Indoor reference (empty room)</t>
        </is>
      </c>
    </row>
    <row r="16">
      <c r="A16" s="0" t="inlineStr">
        <is>
          <t xml:space="preserve">15</t>
        </is>
      </c>
      <c r="B16" s="0" t="inlineStr">
        <is>
          <t xml:space="preserve">Coverr</t>
        </is>
      </c>
      <c r="C16" s="0" t="inlineStr">
        <is>
          <t xml:space="preserve">Empty interior, concrete</t>
        </is>
      </c>
      <c r="D16" s="0" t="inlineStr">
        <is>
          <t xml:space="preserve">Empty-room reference</t>
        </is>
      </c>
      <c r="E16" s="0" t="str">
        <f>HYPERLINK("https://coverr.co/videos/empty-minimal-gallery-space-with-polished-concrete-floor","https://coverr.co/videos/empty-minimal-gallery-space-with-polished-concrete-floor")</f>
      </c>
      <c r="F16" s="0" t="inlineStr">
        <is>
          <t xml:space="preserve">Indoor reference (empty room)</t>
        </is>
      </c>
    </row>
    <row r="17">
      <c r="A17" s="0" t="inlineStr">
        <is>
          <t xml:space="preserve">16</t>
        </is>
      </c>
      <c r="B17" s="0" t="inlineStr">
        <is>
          <t xml:space="preserve">Pixabay</t>
        </is>
      </c>
      <c r="C17" s="0" t="inlineStr">
        <is>
          <t xml:space="preserve">Cozy living room</t>
        </is>
      </c>
      <c r="D17" s="0" t="inlineStr">
        <is>
          <t xml:space="preserve">House interior</t>
        </is>
      </c>
      <c r="E17" s="0" t="str">
        <f>HYPERLINK("https://pixabay.com/videos/cozy-fantasy-livingroom-apartment-176358/","https://pixabay.com/videos/cozy-fantasy-livingroom-apartment-176358/")</f>
      </c>
      <c r="F17" s="0" t="inlineStr">
        <is>
          <t xml:space="preserve">Indoor reference (empty room)</t>
        </is>
      </c>
    </row>
    <row r="18">
      <c r="A18" s="0" t="inlineStr">
        <is>
          <t xml:space="preserve">17</t>
        </is>
      </c>
      <c r="B18" s="0" t="inlineStr">
        <is>
          <t xml:space="preserve">Pixabay</t>
        </is>
      </c>
      <c r="C18" s="0" t="inlineStr">
        <is>
          <t xml:space="preserve">Clouds through a window</t>
        </is>
      </c>
      <c r="D18" s="0" t="inlineStr">
        <is>
          <t xml:space="preserve">Sky seen FROM INSIDE</t>
        </is>
      </c>
      <c r="E18" s="0" t="str">
        <f>HYPERLINK("https://pixabay.com/videos/cloud-window-sky-advertisement-110924/","https://pixabay.com/videos/cloud-window-sky-advertisement-110924/")</f>
      </c>
      <c r="F18" s="0" t="inlineStr">
        <is>
          <t xml:space="preserve">Indoor reference (window to sky)</t>
        </is>
      </c>
    </row>
    <row r="19">
      <c r="A19" s="0" t="inlineStr">
        <is>
          <t xml:space="preserve">18</t>
        </is>
      </c>
      <c r="B19" s="0" t="inlineStr">
        <is>
          <t xml:space="preserve">Pixabay</t>
        </is>
      </c>
      <c r="C19" s="0" t="inlineStr">
        <is>
          <t xml:space="preserve">Window, rain, city sky</t>
        </is>
      </c>
      <c r="D19" s="0" t="inlineStr">
        <is>
          <t xml:space="preserve">Indoor looking out</t>
        </is>
      </c>
      <c r="E19" s="0" t="str">
        <f>HYPERLINK("https://pixabay.com/videos/window-clouds-rain-roses-sky-city-12380/","https://pixabay.com/videos/window-clouds-rain-roses-sky-city-12380/")</f>
      </c>
      <c r="F19" s="0" t="inlineStr">
        <is>
          <t xml:space="preserve">Indoor reference (window to sky)</t>
        </is>
      </c>
    </row>
  </sheetData>
  <autoFilter ref="A1:F19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s="1" t="inlineStr">
        <is>
          <t xml:space="preserve">#</t>
        </is>
      </c>
      <c r="B1" s="1" t="inlineStr">
        <is>
          <t xml:space="preserve">Source</t>
        </is>
      </c>
      <c r="C1" s="1" t="inlineStr">
        <is>
          <t xml:space="preserve">What it is</t>
        </is>
      </c>
      <c r="D1" s="1" t="inlineStr">
        <is>
          <t xml:space="preserve">Link</t>
        </is>
      </c>
      <c r="E1" s="1" t="inlineStr">
        <is>
          <t xml:space="preserve">Use as</t>
        </is>
      </c>
    </row>
    <row r="2">
      <c r="A2" s="0" t="inlineStr">
        <is>
          <t xml:space="preserve">1</t>
        </is>
      </c>
      <c r="B2" s="0" t="inlineStr">
        <is>
          <t xml:space="preserve">Mixkit</t>
        </is>
      </c>
      <c r="C2" s="0" t="inlineStr">
        <is>
          <t xml:space="preserve">Eagle gliding in a clear sky, bottom view</t>
        </is>
      </c>
      <c r="D2" s="0" t="str">
        <f>HYPERLINK("https://mixkit.co/free-stock-video/eagle-gliding-in-a-clear-sky-bottom-view-1706/","https://mixkit.co/free-stock-video/eagle-gliding-in-a-clear-sky-bottom-view-1706/")</f>
      </c>
      <c r="E2" s="0" t="inlineStr">
        <is>
          <t xml:space="preserve">Outdoor TARGET (bird in sky)</t>
        </is>
      </c>
    </row>
    <row r="3">
      <c r="A3" s="0" t="inlineStr">
        <is>
          <t xml:space="preserve">2</t>
        </is>
      </c>
      <c r="B3" s="0" t="inlineStr">
        <is>
          <t xml:space="preserve">Mixkit</t>
        </is>
      </c>
      <c r="C3" s="0" t="inlineStr">
        <is>
          <t xml:space="preserve">Eagle flying high above the treetops</t>
        </is>
      </c>
      <c r="D3" s="0" t="str">
        <f>HYPERLINK("https://mixkit.co/free-stock-video/eagle-flying-high-above-the-tree-tops-6825/","https://mixkit.co/free-stock-video/eagle-flying-high-above-the-tree-tops-6825/")</f>
      </c>
      <c r="E3" s="0" t="inlineStr">
        <is>
          <t xml:space="preserve">Outdoor TARGET (bird in sky)</t>
        </is>
      </c>
    </row>
    <row r="4">
      <c r="A4" s="0" t="inlineStr">
        <is>
          <t xml:space="preserve">3</t>
        </is>
      </c>
      <c r="B4" s="0" t="inlineStr">
        <is>
          <t xml:space="preserve">Mixkit</t>
        </is>
      </c>
      <c r="C4" s="0" t="inlineStr">
        <is>
          <t xml:space="preserve">Flock of seagulls in the sky</t>
        </is>
      </c>
      <c r="D4" s="0" t="str">
        <f>HYPERLINK("https://mixkit.co/free-stock-video/flock-of-seagulls-in-the-sky-17978/","https://mixkit.co/free-stock-video/flock-of-seagulls-in-the-sky-17978/")</f>
      </c>
      <c r="E4" s="0" t="inlineStr">
        <is>
          <t xml:space="preserve">Outdoor TARGET (birds in sky)</t>
        </is>
      </c>
    </row>
    <row r="5">
      <c r="A5" s="0" t="inlineStr">
        <is>
          <t xml:space="preserve">4</t>
        </is>
      </c>
      <c r="B5" s="0" t="inlineStr">
        <is>
          <t xml:space="preserve">Mixkit</t>
        </is>
      </c>
      <c r="C5" s="0" t="inlineStr">
        <is>
          <t xml:space="preserve">Seagull flying across the sky</t>
        </is>
      </c>
      <c r="D5" s="0" t="str">
        <f>HYPERLINK("https://mixkit.co/free-stock-video/seagull-flying-across-the-sky-101185/","https://mixkit.co/free-stock-video/seagull-flying-across-the-sky-101185/")</f>
      </c>
      <c r="E5" s="0" t="inlineStr">
        <is>
          <t xml:space="preserve">Outdoor TARGET (bird in sky)</t>
        </is>
      </c>
    </row>
    <row r="6">
      <c r="A6" s="0" t="inlineStr">
        <is>
          <t xml:space="preserve">5</t>
        </is>
      </c>
      <c r="B6" s="0" t="inlineStr">
        <is>
          <t xml:space="preserve">Mixkit</t>
        </is>
      </c>
      <c r="C6" s="0" t="inlineStr">
        <is>
          <t xml:space="preserve">Seagulls flying against the wind</t>
        </is>
      </c>
      <c r="D6" s="0" t="str">
        <f>HYPERLINK("https://mixkit.co/free-stock-video/seagulls-flying-against-the-wind-15298/","https://mixkit.co/free-stock-video/seagulls-flying-against-the-wind-15298/")</f>
      </c>
      <c r="E6" s="0" t="inlineStr">
        <is>
          <t xml:space="preserve">Outdoor TARGET (birds in sky)</t>
        </is>
      </c>
    </row>
    <row r="7">
      <c r="A7" s="0" t="inlineStr">
        <is>
          <t xml:space="preserve">6</t>
        </is>
      </c>
      <c r="B7" s="0" t="inlineStr">
        <is>
          <t xml:space="preserve">Mixkit</t>
        </is>
      </c>
      <c r="C7" s="0" t="inlineStr">
        <is>
          <t xml:space="preserve">Seagulls flying over a lagoon</t>
        </is>
      </c>
      <c r="D7" s="0" t="str">
        <f>HYPERLINK("https://mixkit.co/free-stock-video/seagulls-flying-over-lagoon-101191/","https://mixkit.co/free-stock-video/seagulls-flying-over-lagoon-101191/")</f>
      </c>
      <c r="E7" s="0" t="inlineStr">
        <is>
          <t xml:space="preserve">Outdoor TARGET (birds in sky)</t>
        </is>
      </c>
    </row>
    <row r="8">
      <c r="A8" s="0" t="inlineStr">
        <is>
          <t xml:space="preserve">7</t>
        </is>
      </c>
      <c r="B8" s="0" t="inlineStr">
        <is>
          <t xml:space="preserve">Mixkit</t>
        </is>
      </c>
      <c r="C8" s="0" t="inlineStr">
        <is>
          <t xml:space="preserve">Seagulls flying over the sky at sunset</t>
        </is>
      </c>
      <c r="D8" s="0" t="str">
        <f>HYPERLINK("https://mixkit.co/free-stock-video/seagulls-flying-over-the-sky-at-sunset-9317/","https://mixkit.co/free-stock-video/seagulls-flying-over-the-sky-at-sunset-9317/")</f>
      </c>
      <c r="E8" s="0" t="inlineStr">
        <is>
          <t xml:space="preserve">Outdoor TARGET (birds in sky)</t>
        </is>
      </c>
    </row>
    <row r="9">
      <c r="A9" s="0" t="inlineStr">
        <is>
          <t xml:space="preserve">8</t>
        </is>
      </c>
      <c r="B9" s="0" t="inlineStr">
        <is>
          <t xml:space="preserve">Mixkit</t>
        </is>
      </c>
      <c r="C9" s="0" t="inlineStr">
        <is>
          <t xml:space="preserve">Flock of seagulls flying at sunset</t>
        </is>
      </c>
      <c r="D9" s="0" t="str">
        <f>HYPERLINK("https://mixkit.co/free-stock-video/flock-of-seagulls-flying-across-the-sky-with-a-sunset-45582/","https://mixkit.co/free-stock-video/flock-of-seagulls-flying-across-the-sky-with-a-sunset-45582/")</f>
      </c>
      <c r="E9" s="0" t="inlineStr">
        <is>
          <t xml:space="preserve">Outdoor TARGET (birds in sky)</t>
        </is>
      </c>
    </row>
    <row r="10">
      <c r="A10" s="0" t="inlineStr">
        <is>
          <t xml:space="preserve">9</t>
        </is>
      </c>
      <c r="B10" s="0" t="inlineStr">
        <is>
          <t xml:space="preserve">Mixkit</t>
        </is>
      </c>
      <c r="C10" s="0" t="inlineStr">
        <is>
          <t xml:space="preserve">Flocks of birds flying in the sky</t>
        </is>
      </c>
      <c r="D10" s="0" t="str">
        <f>HYPERLINK("https://mixkit.co/free-stock-video/flocks-of-birds-flying-in-the-sky-9782/","https://mixkit.co/free-stock-video/flocks-of-birds-flying-in-the-sky-9782/")</f>
      </c>
      <c r="E10" s="0" t="inlineStr">
        <is>
          <t xml:space="preserve">Outdoor TARGET (birds in sky)</t>
        </is>
      </c>
    </row>
    <row r="11">
      <c r="A11" s="0" t="inlineStr">
        <is>
          <t xml:space="preserve">10</t>
        </is>
      </c>
      <c r="B11" s="0" t="inlineStr">
        <is>
          <t xml:space="preserve">Mixkit</t>
        </is>
      </c>
      <c r="C11" s="0" t="inlineStr">
        <is>
          <t xml:space="preserve">Flock of birds over an urban lake</t>
        </is>
      </c>
      <c r="D11" s="0" t="str">
        <f>HYPERLINK("https://mixkit.co/free-stock-video/flock-of-birds-over-urban-lake-101383/","https://mixkit.co/free-stock-video/flock-of-birds-over-urban-lake-101383/")</f>
      </c>
      <c r="E11" s="0" t="inlineStr">
        <is>
          <t xml:space="preserve">Outdoor TARGET (birds in sky)</t>
        </is>
      </c>
    </row>
    <row r="12">
      <c r="A12" s="0" t="inlineStr">
        <is>
          <t xml:space="preserve">11</t>
        </is>
      </c>
      <c r="B12" s="0" t="inlineStr">
        <is>
          <t xml:space="preserve">Coverr</t>
        </is>
      </c>
      <c r="C12" s="0" t="inlineStr">
        <is>
          <t xml:space="preserve">Seagulls flying around a bright blue sky</t>
        </is>
      </c>
      <c r="D12" s="0" t="str">
        <f>HYPERLINK("https://coverr.co/videos/seagulls-flying-around-rwaafdzlmj","https://coverr.co/videos/seagulls-flying-around-rwaafdzlmj")</f>
      </c>
      <c r="E12" s="0" t="inlineStr">
        <is>
          <t xml:space="preserve">Outdoor TARGET (birds in sky)</t>
        </is>
      </c>
    </row>
    <row r="13">
      <c r="A13" s="0" t="inlineStr">
        <is>
          <t xml:space="preserve">12</t>
        </is>
      </c>
      <c r="B13" s="0" t="inlineStr">
        <is>
          <t xml:space="preserve">Coverr</t>
        </is>
      </c>
      <c r="C13" s="0" t="inlineStr">
        <is>
          <t xml:space="preserve">Flock of birds in the sky</t>
        </is>
      </c>
      <c r="D13" s="0" t="str">
        <f>HYPERLINK("https://coverr.co/videos/flock-of-birds-in-the-sky-9d6jsspywm","https://coverr.co/videos/flock-of-birds-in-the-sky-9d6jsspywm")</f>
      </c>
      <c r="E13" s="0" t="inlineStr">
        <is>
          <t xml:space="preserve">Outdoor TARGET (birds in sky)</t>
        </is>
      </c>
    </row>
    <row r="14">
      <c r="A14" s="0" t="inlineStr">
        <is>
          <t xml:space="preserve">13</t>
        </is>
      </c>
      <c r="B14" s="0" t="inlineStr">
        <is>
          <t xml:space="preserve">Coverr</t>
        </is>
      </c>
      <c r="C14" s="0" t="inlineStr">
        <is>
          <t xml:space="preserve">Pigeons flying away</t>
        </is>
      </c>
      <c r="D14" s="0" t="str">
        <f>HYPERLINK("https://coverr.co/videos/pigeons-flying-away-tfvshulwvu","https://coverr.co/videos/pigeons-flying-away-tfvshulwvu")</f>
      </c>
      <c r="E14" s="0" t="inlineStr">
        <is>
          <t xml:space="preserve">Outdoor TARGET (birds flying)</t>
        </is>
      </c>
    </row>
    <row r="15">
      <c r="A15" s="0" t="inlineStr">
        <is>
          <t xml:space="preserve">14</t>
        </is>
      </c>
      <c r="B15" s="0" t="inlineStr">
        <is>
          <t xml:space="preserve">Coverr</t>
        </is>
      </c>
      <c r="C15" s="0" t="inlineStr">
        <is>
          <t xml:space="preserve">Seagulls flying on the coast</t>
        </is>
      </c>
      <c r="D15" s="0" t="str">
        <f>HYPERLINK("https://coverr.co/videos/seagulls-on-the-coast-4xknqopzsq","https://coverr.co/videos/seagulls-on-the-coast-4xknqopzsq")</f>
      </c>
      <c r="E15" s="0" t="inlineStr">
        <is>
          <t xml:space="preserve">Outdoor TARGET (birds in sky)</t>
        </is>
      </c>
    </row>
    <row r="16">
      <c r="A16" s="0" t="inlineStr">
        <is>
          <t xml:space="preserve">15</t>
        </is>
      </c>
      <c r="B16" s="0" t="inlineStr">
        <is>
          <t xml:space="preserve">Coverr</t>
        </is>
      </c>
      <c r="C16" s="0" t="inlineStr">
        <is>
          <t xml:space="preserve">Rainbow lorikeet perched against blue sky</t>
        </is>
      </c>
      <c r="D16" s="0" t="str">
        <f>HYPERLINK("https://coverr.co/videos/vibrant-rainbow-lorikeet-perched-against-blue-sky","https://coverr.co/videos/vibrant-rainbow-lorikeet-perched-against-blue-sky")</f>
      </c>
      <c r="E16" s="0" t="inlineStr">
        <is>
          <t xml:space="preserve">Outdoor TARGET (bird + sky)</t>
        </is>
      </c>
    </row>
    <row r="17">
      <c r="A17" s="0" t="inlineStr">
        <is>
          <t xml:space="preserve">16</t>
        </is>
      </c>
      <c r="B17" s="0" t="inlineStr">
        <is>
          <t xml:space="preserve">Pexels</t>
        </is>
      </c>
      <c r="C17" s="0" t="inlineStr">
        <is>
          <t xml:space="preserve">Flock of pigeons flying outdoors</t>
        </is>
      </c>
      <c r="D17" s="0" t="str">
        <f>HYPERLINK("https://www.pexels.com/video/a-flock-of-pigeons-are-flying-around-a-dirt-road-18334417/","https://www.pexels.com/video/a-flock-of-pigeons-are-flying-around-a-dirt-road-18334417/")</f>
      </c>
      <c r="E17" s="0" t="inlineStr">
        <is>
          <t xml:space="preserve">Outdoor TARGET (birds flying)</t>
        </is>
      </c>
    </row>
    <row r="18">
      <c r="A18" s="0" t="inlineStr">
        <is>
          <t xml:space="preserve">17</t>
        </is>
      </c>
      <c r="B18" s="0" t="inlineStr">
        <is>
          <t xml:space="preserve">Pixabay</t>
        </is>
      </c>
      <c r="C18" s="0" t="inlineStr">
        <is>
          <t xml:space="preserve">Bird swarm / flock in clouds</t>
        </is>
      </c>
      <c r="D18" s="0" t="str">
        <f>HYPERLINK("https://pixabay.com/videos/birds-swarm-flock-of-birds-clouds-184151/","https://pixabay.com/videos/birds-swarm-flock-of-birds-clouds-184151/")</f>
      </c>
      <c r="E18" s="0" t="inlineStr">
        <is>
          <t xml:space="preserve">Outdoor TARGET (birds in sky)</t>
        </is>
      </c>
    </row>
    <row r="19">
      <c r="A19" s="0" t="inlineStr">
        <is>
          <t xml:space="preserve">18</t>
        </is>
      </c>
      <c r="B19" s="0" t="inlineStr">
        <is>
          <t xml:space="preserve">Pixabay</t>
        </is>
      </c>
      <c r="C19" s="0" t="inlineStr">
        <is>
          <t xml:space="preserve">Bird flock, forest animals</t>
        </is>
      </c>
      <c r="D19" s="0" t="str">
        <f>HYPERLINK("https://pixabay.com/videos/birds-flock-animals-forest-174316/","https://pixabay.com/videos/birds-flock-animals-forest-174316/")</f>
      </c>
      <c r="E19" s="0" t="inlineStr">
        <is>
          <t xml:space="preserve">Outdoor TARGET (birds flying)</t>
        </is>
      </c>
    </row>
    <row r="20">
      <c r="A20" s="0" t="inlineStr">
        <is>
          <t xml:space="preserve">19</t>
        </is>
      </c>
      <c r="B20" s="0" t="inlineStr">
        <is>
          <t xml:space="preserve">Pixabay</t>
        </is>
      </c>
      <c r="C20" s="0" t="inlineStr">
        <is>
          <t xml:space="preserve">Seagulls, wings, flying in sky</t>
        </is>
      </c>
      <c r="D20" s="0" t="str">
        <f>HYPERLINK("https://pixabay.com/videos/seagulls-birds-wings-marine-49948/","https://pixabay.com/videos/seagulls-birds-wings-marine-49948/")</f>
      </c>
      <c r="E20" s="0" t="inlineStr">
        <is>
          <t xml:space="preserve">Outdoor TARGET (birds in sky)</t>
        </is>
      </c>
    </row>
  </sheetData>
  <autoFilter ref="A1:E2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</cols>
  <sheetData>
    <row r="1">
      <c r="A1" s="1" t="inlineStr">
        <is>
          <t xml:space="preserve">#</t>
        </is>
      </c>
      <c r="B1" s="1" t="inlineStr">
        <is>
          <t xml:space="preserve">Source</t>
        </is>
      </c>
      <c r="C1" s="1" t="inlineStr">
        <is>
          <t xml:space="preserve">What it is</t>
        </is>
      </c>
      <c r="D1" s="1" t="inlineStr">
        <is>
          <t xml:space="preserve">Setting</t>
        </is>
      </c>
      <c r="E1" s="1" t="inlineStr">
        <is>
          <t xml:space="preserve">Link</t>
        </is>
      </c>
      <c r="F1" s="1" t="inlineStr">
        <is>
          <t xml:space="preserve">Use as</t>
        </is>
      </c>
    </row>
    <row r="2">
      <c r="A2" s="0" t="inlineStr">
        <is>
          <t xml:space="preserve">1</t>
        </is>
      </c>
      <c r="B2" s="0" t="inlineStr">
        <is>
          <t xml:space="preserve">Mixkit</t>
        </is>
      </c>
      <c r="C2" s="0" t="inlineStr">
        <is>
          <t xml:space="preserve">Canary scratching its head in a cage</t>
        </is>
      </c>
      <c r="D2" s="0" t="inlineStr">
        <is>
          <t xml:space="preserve">Indoor cage / pet bird</t>
        </is>
      </c>
      <c r="E2" s="0" t="str">
        <f>HYPERLINK("https://mixkit.co/free-stock-video/canary-scratching-its-head-in-a-cage-26730/","https://mixkit.co/free-stock-video/canary-scratching-its-head-in-a-cage-26730/")</f>
      </c>
      <c r="F2" s="0" t="inlineStr">
        <is>
          <t xml:space="preserve">Indoor TARGET (bird inside)</t>
        </is>
      </c>
    </row>
    <row r="3">
      <c r="A3" s="0" t="inlineStr">
        <is>
          <t xml:space="preserve">2</t>
        </is>
      </c>
      <c r="B3" s="0" t="inlineStr">
        <is>
          <t xml:space="preserve">Mixkit</t>
        </is>
      </c>
      <c r="C3" s="0" t="inlineStr">
        <is>
          <t xml:space="preserve">Macaw parrot feeding on a branch, in captivity</t>
        </is>
      </c>
      <c r="D3" s="0" t="inlineStr">
        <is>
          <t xml:space="preserve">Captivity / pet-like</t>
        </is>
      </c>
      <c r="E3" s="0" t="str">
        <f>HYPERLINK("https://mixkit.co/free-stock-video/macaw-parrot-feeding-on-a-branch-4669/","https://mixkit.co/free-stock-video/macaw-parrot-feeding-on-a-branch-4669/")</f>
      </c>
      <c r="F3" s="0" t="inlineStr">
        <is>
          <t xml:space="preserve">Bird identity / indoor-adjacent TARGET</t>
        </is>
      </c>
    </row>
    <row r="4">
      <c r="A4" s="0" t="inlineStr">
        <is>
          <t xml:space="preserve">3</t>
        </is>
      </c>
      <c r="B4" s="0" t="inlineStr">
        <is>
          <t xml:space="preserve">Mixkit</t>
        </is>
      </c>
      <c r="C4" s="0" t="inlineStr">
        <is>
          <t xml:space="preserve">Parrot eating, close up</t>
        </is>
      </c>
      <c r="D4" s="0" t="inlineStr">
        <is>
          <t xml:space="preserve">Close identity shot</t>
        </is>
      </c>
      <c r="E4" s="0" t="str">
        <f>HYPERLINK("https://mixkit.co/free-stock-video/parrot-eating-close-up-7094/","https://mixkit.co/free-stock-video/parrot-eating-close-up-7094/")</f>
      </c>
      <c r="F4" s="0" t="inlineStr">
        <is>
          <t xml:space="preserve">Bird identity TARGET</t>
        </is>
      </c>
    </row>
    <row r="5">
      <c r="A5" s="0" t="inlineStr">
        <is>
          <t xml:space="preserve">4</t>
        </is>
      </c>
      <c r="B5" s="0" t="inlineStr">
        <is>
          <t xml:space="preserve">Mixkit</t>
        </is>
      </c>
      <c r="C5" s="0" t="inlineStr">
        <is>
          <t xml:space="preserve">Close up of a parrot in nature</t>
        </is>
      </c>
      <c r="D5" s="0" t="inlineStr">
        <is>
          <t xml:space="preserve">Perched parrot</t>
        </is>
      </c>
      <c r="E5" s="0" t="str">
        <f>HYPERLINK("https://mixkit.co/free-stock-video/close-up-of-a-parrot-in-nature-14363/","https://mixkit.co/free-stock-video/close-up-of-a-parrot-in-nature-14363/")</f>
      </c>
      <c r="F5" s="0" t="inlineStr">
        <is>
          <t xml:space="preserve">Bird identity TARGET</t>
        </is>
      </c>
    </row>
    <row r="6">
      <c r="A6" s="0" t="inlineStr">
        <is>
          <t xml:space="preserve">5</t>
        </is>
      </c>
      <c r="B6" s="0" t="inlineStr">
        <is>
          <t xml:space="preserve">Mixkit</t>
        </is>
      </c>
      <c r="C6" s="0" t="inlineStr">
        <is>
          <t xml:space="preserve">Chattering parrot eating on a tree branch</t>
        </is>
      </c>
      <c r="D6" s="0" t="inlineStr">
        <is>
          <t xml:space="preserve">Perched parrot</t>
        </is>
      </c>
      <c r="E6" s="0" t="str">
        <f>HYPERLINK("https://mixkit.co/free-stock-video/chattering-parrot-eating-on-a-tree-branch-48849/","https://mixkit.co/free-stock-video/chattering-parrot-eating-on-a-tree-branch-48849/")</f>
      </c>
      <c r="F6" s="0" t="inlineStr">
        <is>
          <t xml:space="preserve">Bird identity TARGET</t>
        </is>
      </c>
    </row>
    <row r="7">
      <c r="A7" s="0" t="inlineStr">
        <is>
          <t xml:space="preserve">6</t>
        </is>
      </c>
      <c r="B7" s="0" t="inlineStr">
        <is>
          <t xml:space="preserve">Mixkit</t>
        </is>
      </c>
      <c r="C7" s="0" t="inlineStr">
        <is>
          <t xml:space="preserve">Parrot eating on a tree branch</t>
        </is>
      </c>
      <c r="D7" s="0" t="inlineStr">
        <is>
          <t xml:space="preserve">Perched parrot</t>
        </is>
      </c>
      <c r="E7" s="0" t="str">
        <f>HYPERLINK("https://mixkit.co/free-stock-video/parrot-eating-in-a-tree-branch-7177/","https://mixkit.co/free-stock-video/parrot-eating-in-a-tree-branch-7177/")</f>
      </c>
      <c r="F7" s="0" t="inlineStr">
        <is>
          <t xml:space="preserve">Bird identity TARGET</t>
        </is>
      </c>
    </row>
    <row r="8">
      <c r="A8" s="0" t="inlineStr">
        <is>
          <t xml:space="preserve">7</t>
        </is>
      </c>
      <c r="B8" s="0" t="inlineStr">
        <is>
          <t xml:space="preserve">Mixkit</t>
        </is>
      </c>
      <c r="C8" s="0" t="inlineStr">
        <is>
          <t xml:space="preserve">Vibrant red parrot eating fruit on a tree</t>
        </is>
      </c>
      <c r="D8" s="0" t="inlineStr">
        <is>
          <t xml:space="preserve">Perched parrot</t>
        </is>
      </c>
      <c r="E8" s="0" t="str">
        <f>HYPERLINK("https://mixkit.co/free-stock-video/vibrant-red-parrot-eating-fruit-on-a-tree-48848/","https://mixkit.co/free-stock-video/vibrant-red-parrot-eating-fruit-on-a-tree-48848/")</f>
      </c>
      <c r="F8" s="0" t="inlineStr">
        <is>
          <t xml:space="preserve">Bird identity TARGET</t>
        </is>
      </c>
    </row>
    <row r="9">
      <c r="A9" s="0" t="inlineStr">
        <is>
          <t xml:space="preserve">8</t>
        </is>
      </c>
      <c r="B9" s="0" t="inlineStr">
        <is>
          <t xml:space="preserve">Mixkit</t>
        </is>
      </c>
      <c r="C9" s="0" t="inlineStr">
        <is>
          <t xml:space="preserve">Parrot eating sugar cane</t>
        </is>
      </c>
      <c r="D9" s="0" t="inlineStr">
        <is>
          <t xml:space="preserve">Perched parrot</t>
        </is>
      </c>
      <c r="E9" s="0" t="str">
        <f>HYPERLINK("https://mixkit.co/free-stock-video/parrot-eating-a-sugar-cane-6866/","https://mixkit.co/free-stock-video/parrot-eating-a-sugar-cane-6866/")</f>
      </c>
      <c r="F9" s="0" t="inlineStr">
        <is>
          <t xml:space="preserve">Bird identity TARGET</t>
        </is>
      </c>
    </row>
    <row r="10">
      <c r="A10" s="0" t="inlineStr">
        <is>
          <t xml:space="preserve">9</t>
        </is>
      </c>
      <c r="B10" s="0" t="inlineStr">
        <is>
          <t xml:space="preserve">Mixkit</t>
        </is>
      </c>
      <c r="C10" s="0" t="inlineStr">
        <is>
          <t xml:space="preserve">Yellow bird on a tree branch (sanctuary)</t>
        </is>
      </c>
      <c r="D10" s="0" t="inlineStr">
        <is>
          <t xml:space="preserve">Perched small bird</t>
        </is>
      </c>
      <c r="E10" s="0" t="str">
        <f>HYPERLINK("https://mixkit.co/free-stock-video/yellow-bird-on-tree-branch-4666/","https://mixkit.co/free-stock-video/yellow-bird-on-tree-branch-4666/")</f>
      </c>
      <c r="F10" s="0" t="inlineStr">
        <is>
          <t xml:space="preserve">Bird identity TARGET</t>
        </is>
      </c>
    </row>
    <row r="11">
      <c r="A11" s="0" t="inlineStr">
        <is>
          <t xml:space="preserve">10</t>
        </is>
      </c>
      <c r="B11" s="0" t="inlineStr">
        <is>
          <t xml:space="preserve">Mixkit</t>
        </is>
      </c>
      <c r="C11" s="0" t="inlineStr">
        <is>
          <t xml:space="preserve">Birds singing in a tree</t>
        </is>
      </c>
      <c r="D11" s="0" t="inlineStr">
        <is>
          <t xml:space="preserve">Perched birds</t>
        </is>
      </c>
      <c r="E11" s="0" t="str">
        <f>HYPERLINK("https://mixkit.co/free-stock-video/birds-singing-in-a-tree-20512/","https://mixkit.co/free-stock-video/birds-singing-in-a-tree-20512/")</f>
      </c>
      <c r="F11" s="0" t="inlineStr">
        <is>
          <t xml:space="preserve">Bird identity TARGET</t>
        </is>
      </c>
    </row>
    <row r="12">
      <c r="A12" s="0" t="inlineStr">
        <is>
          <t xml:space="preserve">11</t>
        </is>
      </c>
      <c r="B12" s="0" t="inlineStr">
        <is>
          <t xml:space="preserve">Mixkit</t>
        </is>
      </c>
      <c r="C12" s="0" t="inlineStr">
        <is>
          <t xml:space="preserve">Rooster inside its cage looking at camera</t>
        </is>
      </c>
      <c r="D12" s="0" t="inlineStr">
        <is>
          <t xml:space="preserve">Cage (not a house bird, but indoor cage)</t>
        </is>
      </c>
      <c r="E12" s="0" t="str">
        <f>HYPERLINK("https://mixkit.co/free-stock-video/rooster-inside-its-cage-looking-at-the-camera-49044/","https://mixkit.co/free-stock-video/rooster-inside-its-cage-looking-at-the-camera-49044/")</f>
      </c>
      <c r="F12" s="0" t="inlineStr">
        <is>
          <t xml:space="preserve">Indoor cage TARGET (optional)</t>
        </is>
      </c>
    </row>
    <row r="13">
      <c r="A13" s="0" t="inlineStr">
        <is>
          <t xml:space="preserve">12</t>
        </is>
      </c>
      <c r="B13" s="0" t="inlineStr">
        <is>
          <t xml:space="preserve">Pexels</t>
        </is>
      </c>
      <c r="C13" s="0" t="inlineStr">
        <is>
          <t xml:space="preserve">Close-up video of a parrot / macaw</t>
        </is>
      </c>
      <c r="D13" s="0" t="inlineStr">
        <is>
          <t xml:space="preserve">Identity close-up</t>
        </is>
      </c>
      <c r="E13" s="0" t="str">
        <f>HYPERLINK("https://www.pexels.com/video/a-close-up-video-of-a-parrot-10041594/","https://www.pexels.com/video/a-close-up-video-of-a-parrot-10041594/")</f>
      </c>
      <c r="F13" s="0" t="inlineStr">
        <is>
          <t xml:space="preserve">Bird identity TARGET</t>
        </is>
      </c>
    </row>
    <row r="14">
      <c r="A14" s="0" t="inlineStr">
        <is>
          <t xml:space="preserve">13</t>
        </is>
      </c>
      <c r="B14" s="0" t="inlineStr">
        <is>
          <t xml:space="preserve">Pexels</t>
        </is>
      </c>
      <c r="C14" s="0" t="inlineStr">
        <is>
          <t xml:space="preserve">Green parrot on a tree branch</t>
        </is>
      </c>
      <c r="D14" s="0" t="inlineStr">
        <is>
          <t xml:space="preserve">Perched parrot</t>
        </is>
      </c>
      <c r="E14" s="0" t="str">
        <f>HYPERLINK("https://www.pexels.com/video/a-green-parrot-on-a-tree-branch-12715051/","https://www.pexels.com/video/a-green-parrot-on-a-tree-branch-12715051/")</f>
      </c>
      <c r="F14" s="0" t="inlineStr">
        <is>
          <t xml:space="preserve">Bird identity TARGET</t>
        </is>
      </c>
    </row>
    <row r="15">
      <c r="A15" s="0" t="inlineStr">
        <is>
          <t xml:space="preserve">14</t>
        </is>
      </c>
      <c r="B15" s="0" t="inlineStr">
        <is>
          <t xml:space="preserve">Pixabay</t>
        </is>
      </c>
      <c r="C15" s="0" t="inlineStr">
        <is>
          <t xml:space="preserve">Gray parrot close-up</t>
        </is>
      </c>
      <c r="D15" s="0" t="inlineStr">
        <is>
          <t xml:space="preserve">Pet parrot look</t>
        </is>
      </c>
      <c r="E15" s="0" t="str">
        <f>HYPERLINK("https://pixabay.com/videos/bird-gray-parrot-parrot-animal-131650/","https://pixabay.com/videos/bird-gray-parrot-parrot-animal-131650/")</f>
      </c>
      <c r="F15" s="0" t="inlineStr">
        <is>
          <t xml:space="preserve">Bird identity / indoor-adjacent TARGET</t>
        </is>
      </c>
    </row>
    <row r="16">
      <c r="A16" s="0" t="inlineStr">
        <is>
          <t xml:space="preserve">15</t>
        </is>
      </c>
      <c r="B16" s="0" t="inlineStr">
        <is>
          <t xml:space="preserve">Pixabay</t>
        </is>
      </c>
      <c r="C16" s="0" t="inlineStr">
        <is>
          <t xml:space="preserve">Nature parrot</t>
        </is>
      </c>
      <c r="D16" s="0" t="inlineStr">
        <is>
          <t xml:space="preserve">Perched parrot</t>
        </is>
      </c>
      <c r="E16" s="0" t="str">
        <f>HYPERLINK("https://pixabay.com/videos/nature-bird-parrot-armenia-21862/","https://pixabay.com/videos/nature-bird-parrot-armenia-21862/")</f>
      </c>
      <c r="F16" s="0" t="inlineStr">
        <is>
          <t xml:space="preserve">Bird identity TARGET</t>
        </is>
      </c>
    </row>
    <row r="17">
      <c r="A17" s="0" t="inlineStr">
        <is>
          <t xml:space="preserve">16</t>
        </is>
      </c>
      <c r="B17" s="0" t="inlineStr">
        <is>
          <t xml:space="preserve">Pixabay</t>
        </is>
      </c>
      <c r="C17" s="0" t="inlineStr">
        <is>
          <t xml:space="preserve">Parrot on a tree</t>
        </is>
      </c>
      <c r="D17" s="0" t="inlineStr">
        <is>
          <t xml:space="preserve">Perched parrot</t>
        </is>
      </c>
      <c r="E17" s="0" t="str">
        <f>HYPERLINK("https://pixabay.com/videos/parrot-bird-tree-nature-ave-green-21309/","https://pixabay.com/videos/parrot-bird-tree-nature-ave-green-21309/")</f>
      </c>
      <c r="F17" s="0" t="inlineStr">
        <is>
          <t xml:space="preserve">Bird identity TARGET</t>
        </is>
      </c>
    </row>
    <row r="18">
      <c r="A18" s="0" t="inlineStr">
        <is>
          <t xml:space="preserve">17</t>
        </is>
      </c>
      <c r="B18" s="0" t="inlineStr">
        <is>
          <t xml:space="preserve">Pixabay</t>
        </is>
      </c>
      <c r="C18" s="0" t="inlineStr">
        <is>
          <t xml:space="preserve">Colorful bird / parrot</t>
        </is>
      </c>
      <c r="D18" s="0" t="inlineStr">
        <is>
          <t xml:space="preserve">Perched parrot</t>
        </is>
      </c>
      <c r="E18" s="0" t="str">
        <f>HYPERLINK("https://pixabay.com/videos/bird-animal-colorful-guatica-25509/","https://pixabay.com/videos/bird-animal-colorful-guatica-25509/")</f>
      </c>
      <c r="F18" s="0" t="inlineStr">
        <is>
          <t xml:space="preserve">Bird identity TARGET</t>
        </is>
      </c>
    </row>
    <row r="19">
      <c r="A19" s="0" t="inlineStr">
        <is>
          <t xml:space="preserve">18</t>
        </is>
      </c>
      <c r="B19" s="0" t="inlineStr">
        <is>
          <t xml:space="preserve">Pixabay</t>
        </is>
      </c>
      <c r="C19" s="0" t="inlineStr">
        <is>
          <t xml:space="preserve">Bird parrot colorful</t>
        </is>
      </c>
      <c r="D19" s="0" t="inlineStr">
        <is>
          <t xml:space="preserve">Perched parrot</t>
        </is>
      </c>
      <c r="E19" s="0" t="str">
        <f>HYPERLINK("https://pixabay.com/videos/bird-parrot-nature-animal-colorful-46026/","https://pixabay.com/videos/bird-parrot-nature-animal-colorful-46026/")</f>
      </c>
      <c r="F19" s="0" t="inlineStr">
        <is>
          <t xml:space="preserve">Bird identity TARGET</t>
        </is>
      </c>
    </row>
    <row r="20">
      <c r="A20" s="0" t="inlineStr">
        <is>
          <t xml:space="preserve">19</t>
        </is>
      </c>
      <c r="B20" s="0" t="inlineStr">
        <is>
          <t xml:space="preserve">Pixabay</t>
        </is>
      </c>
      <c r="C20" s="0" t="inlineStr">
        <is>
          <t xml:space="preserve">Parrot, banana, tree, avian</t>
        </is>
      </c>
      <c r="D20" s="0" t="inlineStr">
        <is>
          <t xml:space="preserve">Perched parrot</t>
        </is>
      </c>
      <c r="E20" s="0" t="str">
        <f>HYPERLINK("https://pixabay.com/videos/parrot-bird-banana-tree-avian-87068/","https://pixabay.com/videos/parrot-bird-banana-tree-avian-87068/")</f>
      </c>
      <c r="F20" s="0" t="inlineStr">
        <is>
          <t xml:space="preserve">Bird identity TARGET</t>
        </is>
      </c>
    </row>
    <row r="21">
      <c r="A21" s="0" t="inlineStr">
        <is>
          <t xml:space="preserve">20</t>
        </is>
      </c>
      <c r="B21" s="0" t="inlineStr">
        <is>
          <t xml:space="preserve">Pixabay</t>
        </is>
      </c>
      <c r="C21" s="0" t="inlineStr">
        <is>
          <t xml:space="preserve">Nature parrot on a tree</t>
        </is>
      </c>
      <c r="D21" s="0" t="inlineStr">
        <is>
          <t xml:space="preserve">Perched parrot</t>
        </is>
      </c>
      <c r="E21" s="0" t="str">
        <f>HYPERLINK("https://pixabay.com/videos/nature-ave-parrot-bird-tree-22229/","https://pixabay.com/videos/nature-ave-parrot-bird-tree-22229/")</f>
      </c>
      <c r="F21" s="0" t="inlineStr">
        <is>
          <t xml:space="preserve">Bird identity TARGET</t>
        </is>
      </c>
    </row>
  </sheetData>
  <autoFilter ref="A1:F2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s="1" t="inlineStr">
        <is>
          <t xml:space="preserve">What you want</t>
        </is>
      </c>
      <c r="B1" s="1" t="inlineStr">
        <is>
          <t xml:space="preserve">Search terms</t>
        </is>
      </c>
      <c r="C1" s="1" t="inlineStr">
        <is>
          <t xml:space="preserve">Link</t>
        </is>
      </c>
      <c r="D1" s="1" t="inlineStr">
        <is>
          <t xml:space="preserve">Approx. size</t>
        </is>
      </c>
      <c r="E1" s="1" t="inlineStr">
        <is>
          <t xml:space="preserve">Notes</t>
        </is>
      </c>
    </row>
    <row r="2">
      <c r="A2" s="0" t="inlineStr">
        <is>
          <t xml:space="preserve">More empty sky</t>
        </is>
      </c>
      <c r="B2" s="0" t="inlineStr">
        <is>
          <t xml:space="preserve">blue sky, clouds timelapse, clear sky</t>
        </is>
      </c>
      <c r="C2" s="0" t="str">
        <f>HYPERLINK("https://mixkit.co/free-stock-video/blue-sky/","https://mixkit.co/free-stock-video/blue-sky/")</f>
      </c>
      <c r="D2" s="0" t="inlineStr">
        <is>
          <t xml:space="preserve">~489</t>
        </is>
      </c>
      <c r="E2" s="0" t="inlineStr">
        <is>
          <t xml:space="preserve">Skip any bird / eagle / flock</t>
        </is>
      </c>
    </row>
    <row r="3">
      <c r="A3" s="0" t="inlineStr">
        <is>
          <t xml:space="preserve">More clouds</t>
        </is>
      </c>
      <c r="B3" s="0" t="inlineStr">
        <is>
          <t xml:space="preserve">cloud, cloudy</t>
        </is>
      </c>
      <c r="C3" s="0" t="str">
        <f>HYPERLINK("https://mixkit.co/free-stock-video/cloud/","https://mixkit.co/free-stock-video/cloud/")</f>
      </c>
      <c r="D3" s="0" t="inlineStr">
        <is>
          <t xml:space="preserve">~1561</t>
        </is>
      </c>
      <c r="E3" s="0" t="inlineStr">
        <is>
          <t xml:space="preserve">Skip any bird / eagle / flock</t>
        </is>
      </c>
    </row>
    <row r="4">
      <c r="A4" s="0" t="inlineStr">
        <is>
          <t xml:space="preserve">All sky</t>
        </is>
      </c>
      <c r="B4" s="0" t="inlineStr">
        <is>
          <t xml:space="preserve">sky</t>
        </is>
      </c>
      <c r="C4" s="0" t="str">
        <f>HYPERLINK("https://mixkit.co/free-stock-video/sky/","https://mixkit.co/free-stock-video/sky/")</f>
      </c>
      <c r="D4" s="0" t="inlineStr">
        <is>
          <t xml:space="preserve">~2063</t>
        </is>
      </c>
      <c r="E4" s="0" t="inlineStr">
        <is>
          <t xml:space="preserve">Skip eagle / flock / bird if you need EMPTY sky</t>
        </is>
      </c>
    </row>
    <row r="5">
      <c r="A5" s="0" t="inlineStr">
        <is>
          <t xml:space="preserve">Coverr sky</t>
        </is>
      </c>
      <c r="B5" s="0" t="inlineStr">
        <is>
          <t xml:space="preserve">sky</t>
        </is>
      </c>
      <c r="C5" s="0" t="str">
        <f>HYPERLINK("https://coverr.co/stock-video-footage/sky","https://coverr.co/stock-video-footage/sky")</f>
      </c>
      <c r="D5" s="0" t="inlineStr">
        <is>
          <t xml:space="preserve">—</t>
        </is>
      </c>
      <c r="E5" s="0" t="inlineStr">
        <is>
          <t xml:space="preserve">Royalty-free</t>
        </is>
      </c>
    </row>
    <row r="6">
      <c r="A6" s="0" t="inlineStr">
        <is>
          <t xml:space="preserve">Pexels sky</t>
        </is>
      </c>
      <c r="B6" s="0" t="inlineStr">
        <is>
          <t xml:space="preserve">blue sky</t>
        </is>
      </c>
      <c r="C6" s="0" t="str">
        <f>HYPERLINK("https://www.pexels.com/search/videos/blue%20sky/","https://www.pexels.com/search/videos/blue%20sky/")</f>
      </c>
      <c r="D6" s="0" t="inlineStr">
        <is>
          <t xml:space="preserve">—</t>
        </is>
      </c>
      <c r="E6" s="0" t="inlineStr">
        <is>
          <t xml:space="preserve">Free to use</t>
        </is>
      </c>
    </row>
    <row r="7">
      <c r="A7" s="0" t="inlineStr">
        <is>
          <t xml:space="preserve">Pixabay sky</t>
        </is>
      </c>
      <c r="B7" s="0" t="inlineStr">
        <is>
          <t xml:space="preserve">blue sky clouds</t>
        </is>
      </c>
      <c r="C7" s="0" t="str">
        <f>HYPERLINK("https://pixabay.com/videos/search/blue%20sky%20clouds/","https://pixabay.com/videos/search/blue%20sky%20clouds/")</f>
      </c>
      <c r="D7" s="0" t="inlineStr">
        <is>
          <t xml:space="preserve">—</t>
        </is>
      </c>
      <c r="E7" s="0" t="inlineStr">
        <is>
          <t xml:space="preserve">Pixabay Content License</t>
        </is>
      </c>
    </row>
    <row r="8">
      <c r="A8" s="0" t="inlineStr">
        <is>
          <t xml:space="preserve">Living rooms</t>
        </is>
      </c>
      <c r="B8" s="0" t="inlineStr">
        <is>
          <t xml:space="preserve">living room</t>
        </is>
      </c>
      <c r="C8" s="0" t="str">
        <f>HYPERLINK("https://mixkit.co/free-stock-video/living-room/","https://mixkit.co/free-stock-video/living-room/")</f>
      </c>
      <c r="D8" s="0" t="inlineStr">
        <is>
          <t xml:space="preserve">~310</t>
        </is>
      </c>
      <c r="E8" s="0" t="inlineStr">
        <is>
          <t xml:space="preserve">Skip clips of people on the sofa</t>
        </is>
      </c>
    </row>
    <row r="9">
      <c r="A9" s="0" t="inlineStr">
        <is>
          <t xml:space="preserve">Hotel / bedroom</t>
        </is>
      </c>
      <c r="B9" s="0" t="inlineStr">
        <is>
          <t xml:space="preserve">hotel room</t>
        </is>
      </c>
      <c r="C9" s="0" t="str">
        <f>HYPERLINK("https://mixkit.co/free-stock-video/hotel-room/","https://mixkit.co/free-stock-video/hotel-room/")</f>
      </c>
      <c r="D9" s="0" t="inlineStr">
        <is>
          <t xml:space="preserve">—</t>
        </is>
      </c>
      <c r="E9" s="0" t="inlineStr">
        <is>
          <t xml:space="preserve">Prefer empty rooms with windows</t>
        </is>
      </c>
    </row>
    <row r="10">
      <c r="A10" s="0" t="inlineStr">
        <is>
          <t xml:space="preserve">Empty living room</t>
        </is>
      </c>
      <c r="B10" s="0" t="inlineStr">
        <is>
          <t xml:space="preserve">empty living room</t>
        </is>
      </c>
      <c r="C10" s="0" t="str">
        <f>HYPERLINK("https://www.pexels.com/search/videos/empty%20living%20room/","https://www.pexels.com/search/videos/empty%20living%20room/")</f>
      </c>
      <c r="D10" s="0" t="inlineStr">
        <is>
          <t xml:space="preserve">—</t>
        </is>
      </c>
      <c r="E10" s="0" t="inlineStr">
        <is>
          <t xml:space="preserve">Best indoor references</t>
        </is>
      </c>
    </row>
    <row r="11">
      <c r="A11" s="0" t="inlineStr">
        <is>
          <t xml:space="preserve">Room + window</t>
        </is>
      </c>
      <c r="B11" s="0" t="inlineStr">
        <is>
          <t xml:space="preserve">living room window</t>
        </is>
      </c>
      <c r="C11" s="0" t="str">
        <f>HYPERLINK("https://www.pexels.com/search/videos/living%20room%20window/","https://www.pexels.com/search/videos/living%20room%20window/")</f>
      </c>
      <c r="D11" s="0" t="inlineStr">
        <is>
          <t xml:space="preserve">—</t>
        </is>
      </c>
      <c r="E11" s="0" t="inlineStr">
        <is>
          <t xml:space="preserve">Window = bird is inside the house</t>
        </is>
      </c>
    </row>
    <row r="12">
      <c r="A12" s="0" t="inlineStr">
        <is>
          <t xml:space="preserve">Mixkit birds (499 clips)</t>
        </is>
      </c>
      <c r="B12" s="0" t="inlineStr">
        <is>
          <t xml:space="preserve">birds</t>
        </is>
      </c>
      <c r="C12" s="0" t="str">
        <f>HYPERLINK("https://mixkit.co/free-stock-video/birds/","https://mixkit.co/free-stock-video/birds/")</f>
      </c>
      <c r="D12" s="0" t="inlineStr">
        <is>
          <t xml:space="preserve">~499</t>
        </is>
      </c>
      <c r="E12" s="0" t="inlineStr">
        <is>
          <t xml:space="preserve">Main bird TARGET dump</t>
        </is>
      </c>
    </row>
    <row r="13">
      <c r="A13" s="0" t="inlineStr">
        <is>
          <t xml:space="preserve">Mixkit bird</t>
        </is>
      </c>
      <c r="B13" s="0" t="inlineStr">
        <is>
          <t xml:space="preserve">bird</t>
        </is>
      </c>
      <c r="C13" s="0" t="str">
        <f>HYPERLINK("https://mixkit.co/free-stock-video/bird/","https://mixkit.co/free-stock-video/bird/")</f>
      </c>
      <c r="D13" s="0" t="inlineStr">
        <is>
          <t xml:space="preserve">~499</t>
        </is>
      </c>
      <c r="E13" s="0" t="inlineStr">
        <is>
          <t xml:space="preserve">Same library, bird tag</t>
        </is>
      </c>
    </row>
    <row r="14">
      <c r="A14" s="0" t="inlineStr">
        <is>
          <t xml:space="preserve">Mixkit parrot (21 clips)</t>
        </is>
      </c>
      <c r="B14" s="0" t="inlineStr">
        <is>
          <t xml:space="preserve">parrot</t>
        </is>
      </c>
      <c r="C14" s="0" t="str">
        <f>HYPERLINK("https://mixkit.co/free-stock-video/parrot/","https://mixkit.co/free-stock-video/parrot/")</f>
      </c>
      <c r="D14" s="0" t="inlineStr">
        <is>
          <t xml:space="preserve">~21</t>
        </is>
      </c>
      <c r="E14" s="0" t="inlineStr">
        <is>
          <t xml:space="preserve">Good identity / perched birds</t>
        </is>
      </c>
    </row>
    <row r="15">
      <c r="A15" s="0" t="inlineStr">
        <is>
          <t xml:space="preserve">Pexels flying birds</t>
        </is>
      </c>
      <c r="B15" s="0" t="inlineStr">
        <is>
          <t xml:space="preserve">flying birds</t>
        </is>
      </c>
      <c r="C15" s="0" t="str">
        <f>HYPERLINK("https://www.pexels.com/search/videos/flying%20birds/","https://www.pexels.com/search/videos/flying%20birds/")</f>
      </c>
      <c r="D15" s="0" t="inlineStr">
        <is>
          <t xml:space="preserve">thousands</t>
        </is>
      </c>
      <c r="E15" s="0" t="inlineStr">
        <is>
          <t xml:space="preserve">Outdoor TARGET</t>
        </is>
      </c>
    </row>
    <row r="16">
      <c r="A16" s="0" t="inlineStr">
        <is>
          <t xml:space="preserve">Pexels parrot</t>
        </is>
      </c>
      <c r="B16" s="0" t="inlineStr">
        <is>
          <t xml:space="preserve">parrot</t>
        </is>
      </c>
      <c r="C16" s="0" t="str">
        <f>HYPERLINK("https://www.pexels.com/search/videos/parrot/","https://www.pexels.com/search/videos/parrot/")</f>
      </c>
      <c r="D16" s="0" t="inlineStr">
        <is>
          <t xml:space="preserve">—</t>
        </is>
      </c>
      <c r="E16" s="0" t="inlineStr">
        <is>
          <t xml:space="preserve">Identity TARGET</t>
        </is>
      </c>
    </row>
    <row r="17">
      <c r="A17" s="0" t="inlineStr">
        <is>
          <t xml:space="preserve">Pexels pigeon</t>
        </is>
      </c>
      <c r="B17" s="0" t="inlineStr">
        <is>
          <t xml:space="preserve">pigeon flying</t>
        </is>
      </c>
      <c r="C17" s="0" t="str">
        <f>HYPERLINK("https://www.pexels.com/search/videos/pigeon%20flying/","https://www.pexels.com/search/videos/pigeon%20flying/")</f>
      </c>
      <c r="D17" s="0" t="inlineStr">
        <is>
          <t xml:space="preserve">—</t>
        </is>
      </c>
      <c r="E17" s="0" t="inlineStr">
        <is>
          <t xml:space="preserve">Outdoor TARGET</t>
        </is>
      </c>
    </row>
    <row r="18">
      <c r="A18" s="0" t="inlineStr">
        <is>
          <t xml:space="preserve">Pixabay birds flying</t>
        </is>
      </c>
      <c r="B18" s="0" t="inlineStr">
        <is>
          <t xml:space="preserve">birds flying</t>
        </is>
      </c>
      <c r="C18" s="0" t="str">
        <f>HYPERLINK("https://pixabay.com/videos/search/birds%20flying/","https://pixabay.com/videos/search/birds%20flying/")</f>
      </c>
      <c r="D18" s="0" t="inlineStr">
        <is>
          <t xml:space="preserve">thousands</t>
        </is>
      </c>
      <c r="E18" s="0" t="inlineStr">
        <is>
          <t xml:space="preserve">Outdoor TARGET</t>
        </is>
      </c>
    </row>
    <row r="19">
      <c r="A19" s="0" t="inlineStr">
        <is>
          <t xml:space="preserve">Pixabay parrot</t>
        </is>
      </c>
      <c r="B19" s="0" t="inlineStr">
        <is>
          <t xml:space="preserve">parrot</t>
        </is>
      </c>
      <c r="C19" s="0" t="str">
        <f>HYPERLINK("https://pixabay.com/videos/search/parrot/","https://pixabay.com/videos/search/parrot/")</f>
      </c>
      <c r="D19" s="0" t="inlineStr">
        <is>
          <t xml:space="preserve">—</t>
        </is>
      </c>
      <c r="E19" s="0" t="inlineStr">
        <is>
          <t xml:space="preserve">Identity / pet bird</t>
        </is>
      </c>
    </row>
    <row r="20">
      <c r="A20" s="0" t="inlineStr">
        <is>
          <t xml:space="preserve">Pixabay indoor parrot</t>
        </is>
      </c>
      <c r="B20" s="0" t="inlineStr">
        <is>
          <t xml:space="preserve">parrot indoor</t>
        </is>
      </c>
      <c r="C20" s="0" t="str">
        <f>HYPERLINK("https://pixabay.com/videos/search/parrot%20indoor/","https://pixabay.com/videos/search/parrot%20indoor/")</f>
      </c>
      <c r="D20" s="0" t="inlineStr">
        <is>
          <t xml:space="preserve">—</t>
        </is>
      </c>
      <c r="E20" s="0" t="inlineStr">
        <is>
          <t xml:space="preserve">Hunt for house-bird TARGETS</t>
        </is>
      </c>
    </row>
    <row r="21">
      <c r="A21" s="0" t="inlineStr">
        <is>
          <t xml:space="preserve">Pixabay pet bird</t>
        </is>
      </c>
      <c r="B21" s="0" t="inlineStr">
        <is>
          <t xml:space="preserve">pet bird cage</t>
        </is>
      </c>
      <c r="C21" s="0" t="str">
        <f>HYPERLINK("https://pixabay.com/videos/search/pet%20bird%20cage/","https://pixabay.com/videos/search/pet%20bird%20cage/")</f>
      </c>
      <c r="D21" s="0" t="inlineStr">
        <is>
          <t xml:space="preserve">—</t>
        </is>
      </c>
      <c r="E21" s="0" t="inlineStr">
        <is>
          <t xml:space="preserve">Indoor TARGET candidates</t>
        </is>
      </c>
    </row>
    <row r="22">
      <c r="A22" s="0" t="inlineStr">
        <is>
          <t xml:space="preserve">Pixabay green screen flying birds</t>
        </is>
      </c>
      <c r="B22" s="0" t="inlineStr">
        <is>
          <t xml:space="preserve">green screen birds flying</t>
        </is>
      </c>
      <c r="C22" s="0" t="str">
        <f>HYPERLINK("https://pixabay.com/videos/search/green%20screen%20birds%20flying/","https://pixabay.com/videos/search/green%20screen%20birds%20flying/")</f>
      </c>
      <c r="D22" s="0" t="inlineStr">
        <is>
          <t xml:space="preserve">—</t>
        </is>
      </c>
      <c r="E22" s="0" t="inlineStr">
        <is>
          <t xml:space="preserve">Useful to composite a bird into empty rooms/sky</t>
        </is>
      </c>
    </row>
    <row r="23">
      <c r="A23" s="0" t="inlineStr">
        <is>
          <t xml:space="preserve">Coverr birds</t>
        </is>
      </c>
      <c r="B23" s="0" t="inlineStr">
        <is>
          <t xml:space="preserve">bird</t>
        </is>
      </c>
      <c r="C23" s="0" t="str">
        <f>HYPERLINK("https://coverr.co/stock-video-footage/bird","https://coverr.co/stock-video-footage/bird")</f>
      </c>
      <c r="D23" s="0" t="inlineStr">
        <is>
          <t xml:space="preserve">—</t>
        </is>
      </c>
      <c r="E23" s="0" t="inlineStr">
        <is>
          <t xml:space="preserve">Outdoor TARGET</t>
        </is>
      </c>
    </row>
  </sheetData>
  <autoFilter ref="A1:E2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</cols>
  <sheetData>
    <row r="1">
      <c r="A1" s="1" t="inlineStr">
        <is>
          <t xml:space="preserve">Pair name</t>
        </is>
      </c>
      <c r="B1" s="1" t="inlineStr">
        <is>
          <t xml:space="preserve">Reference from</t>
        </is>
      </c>
      <c r="C1" s="1" t="inlineStr">
        <is>
          <t xml:space="preserve">Target from</t>
        </is>
      </c>
      <c r="D1" s="1" t="inlineStr">
        <is>
          <t xml:space="preserve">Teaches</t>
        </is>
      </c>
    </row>
    <row r="2">
      <c r="A2" s="0" t="inlineStr">
        <is>
          <t xml:space="preserve">Sky bird</t>
        </is>
      </c>
      <c r="B2" s="0" t="inlineStr">
        <is>
          <t xml:space="preserve">Empty Sky Clips tab</t>
        </is>
      </c>
      <c r="C2" s="0" t="inlineStr">
        <is>
          <t xml:space="preserve">Bird videos (sky / flying) tab</t>
        </is>
      </c>
      <c r="D2" s="0" t="inlineStr">
        <is>
          <t xml:space="preserve">Bird outdoors in the sky</t>
        </is>
      </c>
    </row>
    <row r="3">
      <c r="A3" s="0" t="inlineStr">
        <is>
          <t xml:space="preserve">House bird</t>
        </is>
      </c>
      <c r="B3" s="0" t="inlineStr">
        <is>
          <t xml:space="preserve">House Rooms tab (window rooms first)</t>
        </is>
      </c>
      <c r="C3" s="0" t="inlineStr">
        <is>
          <t xml:space="preserve">Bird videos (parrot / cage / perch) + your own indoor filming or composite</t>
        </is>
      </c>
      <c r="D3" s="0" t="inlineStr">
        <is>
          <t xml:space="preserve">Bird IN the house, not outside</t>
        </is>
      </c>
    </row>
    <row r="4">
      <c r="A4" s="0" t="inlineStr">
        <is>
          <t xml:space="preserve">Identity</t>
        </is>
      </c>
      <c r="B4" s="0" t="inlineStr">
        <is>
          <t xml:space="preserve">Any clean close parrot/bird clip</t>
        </is>
      </c>
      <c r="C4" s="0" t="inlineStr">
        <is>
          <t xml:space="preserve">Same bird in many scenes</t>
        </is>
      </c>
      <c r="D4" s="0" t="inlineStr">
        <is>
          <t xml:space="preserve">Same bird look across rooms and sky</t>
        </is>
      </c>
    </row>
  </sheetData>
  <autoFilter ref="A1:D4"/>
</worksheet>
</file>